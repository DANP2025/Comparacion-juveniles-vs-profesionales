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esktop\ejemplo ID talent\"/>
    </mc:Choice>
  </mc:AlternateContent>
  <xr:revisionPtr revIDLastSave="0" documentId="13_ncr:1_{8CC7D309-0C34-4BE0-B7E4-1262D77103FF}" xr6:coauthVersionLast="46" xr6:coauthVersionMax="46" xr10:uidLastSave="{00000000-0000-0000-0000-000000000000}"/>
  <bookViews>
    <workbookView xWindow="-108" yWindow="-108" windowWidth="23256" windowHeight="12456" tabRatio="819" xr2:uid="{00000000-000D-0000-FFFF-FFFF00000000}"/>
  </bookViews>
  <sheets>
    <sheet name="VARIABLES ID" sheetId="43" r:id="rId1"/>
  </sheets>
  <calcPr calcId="191029"/>
</workbook>
</file>

<file path=xl/calcChain.xml><?xml version="1.0" encoding="utf-8"?>
<calcChain xmlns="http://schemas.openxmlformats.org/spreadsheetml/2006/main">
  <c r="ER29" i="43" l="1"/>
  <c r="EP29" i="43"/>
  <c r="EP28" i="43"/>
  <c r="ER27" i="43"/>
  <c r="ER26" i="43"/>
  <c r="EP27" i="43"/>
  <c r="EP26" i="43"/>
  <c r="EP22" i="43"/>
  <c r="EP13" i="43"/>
  <c r="EP14" i="43"/>
  <c r="ER11" i="43"/>
  <c r="EP11" i="43"/>
  <c r="ER23" i="43"/>
  <c r="EP23" i="43"/>
  <c r="ER16" i="43"/>
  <c r="EP16" i="43"/>
  <c r="ER13" i="43"/>
  <c r="ER12" i="43"/>
  <c r="EP12" i="43"/>
  <c r="EP7" i="43"/>
  <c r="ER5" i="43"/>
  <c r="EP5" i="43"/>
  <c r="ER4" i="43"/>
  <c r="EP4" i="43"/>
  <c r="EN24" i="43"/>
  <c r="EN23" i="43"/>
  <c r="EN10" i="43"/>
  <c r="EN7" i="43"/>
  <c r="EN6" i="43"/>
  <c r="EN2" i="43"/>
  <c r="EL27" i="43"/>
  <c r="EL26" i="43"/>
  <c r="EL24" i="43"/>
  <c r="EL23" i="43"/>
  <c r="EJ26" i="43"/>
  <c r="EJ24" i="43"/>
  <c r="EJ23" i="43"/>
  <c r="EJ21" i="43"/>
  <c r="EJ19" i="43"/>
  <c r="EJ18" i="43"/>
  <c r="EJ17" i="43"/>
  <c r="EJ13" i="43"/>
  <c r="EJ10" i="43"/>
  <c r="EJ6" i="43"/>
  <c r="EJ5" i="43"/>
  <c r="EJ3" i="43"/>
  <c r="EL21" i="43"/>
  <c r="EL20" i="43"/>
  <c r="EL19" i="43"/>
  <c r="EL18" i="43"/>
  <c r="EL16" i="43"/>
  <c r="EL13" i="43"/>
  <c r="EL10" i="43"/>
  <c r="EL9" i="43"/>
  <c r="EL6" i="43"/>
  <c r="EN27" i="43"/>
  <c r="EJ27" i="43"/>
  <c r="EH27" i="43"/>
  <c r="EG27" i="43"/>
  <c r="EH24" i="43"/>
  <c r="EG24" i="43"/>
  <c r="EH23" i="43"/>
  <c r="EG23" i="43"/>
  <c r="EH19" i="43"/>
  <c r="EG19" i="43"/>
  <c r="EH18" i="43"/>
  <c r="EG18" i="43"/>
  <c r="EH17" i="43"/>
  <c r="EG17" i="43"/>
  <c r="EN21" i="43"/>
  <c r="EH21" i="43"/>
  <c r="EG21" i="43"/>
  <c r="EN20" i="43"/>
  <c r="EJ20" i="43"/>
  <c r="EH20" i="43"/>
  <c r="EG20" i="43"/>
  <c r="EN19" i="43"/>
  <c r="EN18" i="43"/>
  <c r="EN17" i="43"/>
  <c r="EL17" i="43"/>
  <c r="EH13" i="43"/>
  <c r="EG13" i="43"/>
  <c r="EH10" i="43"/>
  <c r="EG10" i="43"/>
  <c r="EH6" i="43"/>
  <c r="EG6" i="43"/>
  <c r="EH5" i="43"/>
  <c r="EG5" i="43"/>
  <c r="EH3" i="43"/>
  <c r="EG3" i="43"/>
  <c r="EH2" i="43"/>
  <c r="EG2" i="43"/>
  <c r="EN5" i="43"/>
  <c r="EL5" i="43"/>
  <c r="EN3" i="43"/>
  <c r="EL3" i="43"/>
  <c r="EL2" i="43"/>
  <c r="EJ2" i="43"/>
  <c r="EN26" i="43"/>
  <c r="EH26" i="43"/>
  <c r="EG26" i="43"/>
  <c r="EN16" i="43"/>
  <c r="EJ16" i="43"/>
  <c r="EH16" i="43"/>
  <c r="EG16" i="43"/>
  <c r="EN13" i="43"/>
  <c r="EN12" i="43"/>
  <c r="EL12" i="43"/>
  <c r="EJ12" i="43"/>
  <c r="EH12" i="43"/>
  <c r="EG12" i="43"/>
  <c r="EN8" i="43"/>
  <c r="EL8" i="43"/>
  <c r="EL7" i="43"/>
  <c r="EJ7" i="43"/>
  <c r="EH7" i="43"/>
  <c r="EG7" i="43"/>
  <c r="EN4" i="43"/>
  <c r="EL4" i="43"/>
  <c r="EJ4" i="43"/>
  <c r="EH4" i="43"/>
  <c r="EG4" i="43"/>
  <c r="EE24" i="43" l="1"/>
  <c r="EE22" i="43"/>
  <c r="EE13" i="43"/>
  <c r="EE11" i="43"/>
  <c r="EE10" i="43"/>
  <c r="EE7" i="43"/>
  <c r="EE4" i="43"/>
  <c r="EC23" i="43"/>
  <c r="EC11" i="43"/>
  <c r="EC10" i="43"/>
  <c r="EC7" i="43"/>
  <c r="EC4" i="43"/>
  <c r="EA11" i="43"/>
  <c r="EA10" i="43"/>
  <c r="EA7" i="43"/>
  <c r="EA4" i="43"/>
  <c r="DY24" i="43"/>
  <c r="DX24" i="43"/>
  <c r="DY22" i="43"/>
  <c r="DX22" i="43"/>
  <c r="EE16" i="43"/>
  <c r="EC16" i="43"/>
  <c r="EA16" i="43"/>
  <c r="DY16" i="43"/>
  <c r="DX16" i="43"/>
  <c r="EC13" i="43"/>
  <c r="EA13" i="43"/>
  <c r="DY13" i="43"/>
  <c r="DX13" i="43"/>
  <c r="DY11" i="43"/>
  <c r="DY7" i="43"/>
  <c r="DY4" i="43"/>
  <c r="DX11" i="43"/>
  <c r="DX7" i="43"/>
  <c r="DX4" i="43"/>
  <c r="EE26" i="43"/>
  <c r="EC26" i="43"/>
  <c r="EA26" i="43"/>
  <c r="DY26" i="43"/>
  <c r="DX26" i="43"/>
  <c r="EC24" i="43"/>
  <c r="EA24" i="43"/>
  <c r="EE23" i="43"/>
  <c r="EA23" i="43"/>
  <c r="DY23" i="43"/>
  <c r="DX23" i="43"/>
  <c r="EC22" i="43"/>
  <c r="EA22" i="43"/>
  <c r="EE12" i="43"/>
  <c r="EC12" i="43"/>
  <c r="EA12" i="43"/>
  <c r="DY12" i="43"/>
  <c r="DX12" i="43"/>
  <c r="DY10" i="43"/>
  <c r="DX10" i="43"/>
  <c r="EE8" i="43"/>
  <c r="EC8" i="43"/>
  <c r="DO2" i="43"/>
  <c r="DO4" i="43"/>
  <c r="DO7" i="43"/>
  <c r="B2" i="43"/>
  <c r="DV27" i="43"/>
  <c r="DV26" i="43"/>
  <c r="DV24" i="43"/>
  <c r="DV22" i="43"/>
  <c r="DV19" i="43"/>
  <c r="DV17" i="43"/>
  <c r="DV11" i="43"/>
  <c r="DV7" i="43"/>
  <c r="DV4" i="43"/>
  <c r="DV2" i="43"/>
  <c r="DT26" i="43"/>
  <c r="DT24" i="43"/>
  <c r="DT23" i="43"/>
  <c r="DT19" i="43"/>
  <c r="DT17" i="43"/>
  <c r="DT11" i="43"/>
  <c r="DT10" i="43"/>
  <c r="DT7" i="43"/>
  <c r="DT4" i="43"/>
  <c r="DT2" i="43"/>
  <c r="DR19" i="43"/>
  <c r="DR18" i="43"/>
  <c r="DR17" i="43"/>
  <c r="DR11" i="43"/>
  <c r="DR10" i="43"/>
  <c r="DR7" i="43"/>
  <c r="DR4" i="43"/>
  <c r="DR2" i="43"/>
  <c r="DP27" i="43"/>
  <c r="DP24" i="43"/>
  <c r="DP23" i="43"/>
  <c r="DP22" i="43"/>
  <c r="DP19" i="43"/>
  <c r="DP18" i="43"/>
  <c r="DP11" i="43"/>
  <c r="DP7" i="43"/>
  <c r="DP4" i="43"/>
  <c r="DP2" i="43"/>
  <c r="DO27" i="43"/>
  <c r="DR24" i="43"/>
  <c r="DO24" i="43"/>
  <c r="DO23" i="43"/>
  <c r="DO22" i="43"/>
  <c r="DO19" i="43"/>
  <c r="DO18" i="43"/>
  <c r="DO17" i="43"/>
  <c r="DO11" i="43"/>
  <c r="DT27" i="43"/>
  <c r="DR27" i="43"/>
  <c r="DR26" i="43"/>
  <c r="DP26" i="43"/>
  <c r="DO26" i="43"/>
  <c r="DV23" i="43"/>
  <c r="DR23" i="43"/>
  <c r="DT22" i="43"/>
  <c r="DR22" i="43"/>
  <c r="DV18" i="43"/>
  <c r="DT18" i="43"/>
  <c r="DP17" i="43"/>
  <c r="DV12" i="43"/>
  <c r="DT12" i="43"/>
  <c r="DR12" i="43"/>
  <c r="DP12" i="43"/>
  <c r="DO12" i="43"/>
  <c r="DV10" i="43"/>
  <c r="DP10" i="43"/>
  <c r="DO10" i="43"/>
  <c r="DV8" i="43"/>
  <c r="DT8" i="43"/>
  <c r="DM27" i="43"/>
  <c r="DM23" i="43"/>
  <c r="DM20" i="43"/>
  <c r="DM18" i="43"/>
  <c r="DM15" i="43"/>
  <c r="DM11" i="43"/>
  <c r="DM10" i="43"/>
  <c r="DM9" i="43"/>
  <c r="DM8" i="43"/>
  <c r="DM6" i="43"/>
  <c r="DM2" i="43"/>
  <c r="DK28" i="43"/>
  <c r="DK24" i="43"/>
  <c r="DK23" i="43"/>
  <c r="DK22" i="43"/>
  <c r="DK18" i="43"/>
  <c r="DK15" i="43"/>
  <c r="DK9" i="43"/>
  <c r="DK6" i="43"/>
  <c r="DK8" i="43"/>
  <c r="DK2" i="43"/>
  <c r="DI27" i="43"/>
  <c r="DI26" i="43"/>
  <c r="DI25" i="43"/>
  <c r="DI23" i="43"/>
  <c r="DI22" i="43"/>
  <c r="DI20" i="43"/>
  <c r="DI18" i="43"/>
  <c r="DI15" i="43"/>
  <c r="DI11" i="43"/>
  <c r="DI10" i="43"/>
  <c r="DI9" i="43"/>
  <c r="DI6" i="43"/>
  <c r="DI2" i="43"/>
  <c r="DG23" i="43"/>
  <c r="DF23" i="43"/>
  <c r="DG18" i="43"/>
  <c r="DF18" i="43"/>
  <c r="DG20" i="43"/>
  <c r="DF20" i="43"/>
  <c r="DF27" i="43"/>
  <c r="DF26" i="43"/>
  <c r="DF16" i="43"/>
  <c r="DG9" i="43"/>
  <c r="DF9" i="43"/>
  <c r="DF22" i="43"/>
  <c r="DF17" i="43"/>
  <c r="DG10" i="43"/>
  <c r="DF10" i="43"/>
  <c r="DG15" i="43"/>
  <c r="DF15" i="43"/>
  <c r="DG11" i="43"/>
  <c r="DF11" i="43"/>
  <c r="DG7" i="43"/>
  <c r="DF7" i="43"/>
  <c r="DG6" i="43"/>
  <c r="DF6" i="43"/>
  <c r="DF2" i="43"/>
  <c r="DK27" i="43"/>
  <c r="DG27" i="43"/>
  <c r="DM26" i="43"/>
  <c r="DG26" i="43"/>
  <c r="DM22" i="43"/>
  <c r="DG22" i="43"/>
  <c r="DK20" i="43"/>
  <c r="DM17" i="43"/>
  <c r="DI17" i="43"/>
  <c r="DG17" i="43"/>
  <c r="DM16" i="43"/>
  <c r="DK16" i="43"/>
  <c r="DI16" i="43"/>
  <c r="DG16" i="43"/>
  <c r="DM12" i="43"/>
  <c r="DK12" i="43"/>
  <c r="DI12" i="43"/>
  <c r="DG12" i="43"/>
  <c r="DF12" i="43"/>
  <c r="DM7" i="43"/>
  <c r="DK7" i="43"/>
  <c r="DI7" i="43"/>
  <c r="DG2" i="43"/>
  <c r="DD24" i="43"/>
  <c r="DD18" i="43"/>
  <c r="DD17" i="43"/>
  <c r="DD7" i="43"/>
  <c r="DD5" i="43"/>
  <c r="DD3" i="43"/>
  <c r="DB27" i="43"/>
  <c r="DB24" i="43"/>
  <c r="DB23" i="43"/>
  <c r="DB22" i="43"/>
  <c r="DB19" i="43"/>
  <c r="DB18" i="43"/>
  <c r="DB7" i="43"/>
  <c r="DB5" i="43"/>
  <c r="DB3" i="43"/>
  <c r="CZ27" i="43"/>
  <c r="CZ24" i="43"/>
  <c r="CZ23" i="43"/>
  <c r="CZ22" i="43"/>
  <c r="CZ19" i="43"/>
  <c r="CZ18" i="43"/>
  <c r="CZ5" i="43"/>
  <c r="CW24" i="43"/>
  <c r="CX22" i="43"/>
  <c r="CW22" i="43"/>
  <c r="CX19" i="43"/>
  <c r="CW19" i="43"/>
  <c r="CX2" i="43"/>
  <c r="CW2" i="43"/>
  <c r="DD27" i="43"/>
  <c r="CX27" i="43"/>
  <c r="CW27" i="43"/>
  <c r="DD26" i="43"/>
  <c r="DB26" i="43"/>
  <c r="CZ26" i="43"/>
  <c r="CX26" i="43"/>
  <c r="CW26" i="43"/>
  <c r="CX24" i="43"/>
  <c r="CX23" i="43"/>
  <c r="CW23" i="43"/>
  <c r="DD22" i="43"/>
  <c r="DD20" i="43"/>
  <c r="DB20" i="43"/>
  <c r="CZ20" i="43"/>
  <c r="CX20" i="43"/>
  <c r="CW20" i="43"/>
  <c r="CX18" i="43"/>
  <c r="CW18" i="43"/>
  <c r="DB17" i="43"/>
  <c r="CZ17" i="43"/>
  <c r="CX17" i="43"/>
  <c r="CW17" i="43"/>
  <c r="DD16" i="43"/>
  <c r="DB16" i="43"/>
  <c r="CZ16" i="43"/>
  <c r="CX16" i="43"/>
  <c r="CW16" i="43"/>
  <c r="DD12" i="43"/>
  <c r="DB12" i="43"/>
  <c r="CZ12" i="43"/>
  <c r="CX12" i="43"/>
  <c r="CW12" i="43"/>
  <c r="CZ7" i="43"/>
  <c r="CX7" i="43"/>
  <c r="CW7" i="43"/>
  <c r="CX5" i="43"/>
  <c r="CW5" i="43"/>
  <c r="CZ3" i="43"/>
  <c r="CX3" i="43"/>
  <c r="CW3" i="43"/>
  <c r="CU27" i="43"/>
  <c r="CU26" i="43"/>
  <c r="CU24" i="43"/>
  <c r="CU23" i="43"/>
  <c r="CU18" i="43"/>
  <c r="CU17" i="43"/>
  <c r="CU16" i="43"/>
  <c r="CU11" i="43"/>
  <c r="CU10" i="43"/>
  <c r="CU3" i="43"/>
  <c r="CS27" i="43"/>
  <c r="CS24" i="43"/>
  <c r="CS22" i="43"/>
  <c r="CS18" i="43"/>
  <c r="CS17" i="43"/>
  <c r="CS10" i="43"/>
  <c r="CS7" i="43"/>
  <c r="CS6" i="43"/>
  <c r="CS5" i="43"/>
  <c r="CS4" i="43"/>
  <c r="CS3" i="43"/>
  <c r="CS2" i="43"/>
  <c r="CQ27" i="43"/>
  <c r="CQ24" i="43"/>
  <c r="CQ23" i="43"/>
  <c r="CQ22" i="43"/>
  <c r="CQ18" i="43"/>
  <c r="CQ16" i="43"/>
  <c r="CQ11" i="43"/>
  <c r="CQ10" i="43"/>
  <c r="CQ5" i="43"/>
  <c r="CQ3" i="43"/>
  <c r="CO27" i="43"/>
  <c r="CN27" i="43"/>
  <c r="CO26" i="43"/>
  <c r="CN26" i="43"/>
  <c r="CO24" i="43"/>
  <c r="CN24" i="43"/>
  <c r="CO23" i="43"/>
  <c r="CN23" i="43"/>
  <c r="CO22" i="43"/>
  <c r="CN22" i="43"/>
  <c r="CO18" i="43"/>
  <c r="CN18" i="43"/>
  <c r="CO17" i="43"/>
  <c r="CN17" i="43"/>
  <c r="CN16" i="43"/>
  <c r="CS16" i="43"/>
  <c r="CO16" i="43"/>
  <c r="CO11" i="43"/>
  <c r="CN11" i="43"/>
  <c r="CO10" i="43"/>
  <c r="CN10" i="43"/>
  <c r="CO5" i="43"/>
  <c r="CN5" i="43"/>
  <c r="CO4" i="43"/>
  <c r="CN4" i="43"/>
  <c r="CO3" i="43"/>
  <c r="CN3" i="43"/>
  <c r="CO2" i="43"/>
  <c r="CN2" i="43"/>
  <c r="CS26" i="43"/>
  <c r="CQ26" i="43"/>
  <c r="CS23" i="43"/>
  <c r="CU22" i="43"/>
  <c r="CU20" i="43"/>
  <c r="CS20" i="43"/>
  <c r="CQ20" i="43"/>
  <c r="CO20" i="43"/>
  <c r="CN20" i="43"/>
  <c r="CQ17" i="43"/>
  <c r="CU12" i="43"/>
  <c r="CS12" i="43"/>
  <c r="CQ12" i="43"/>
  <c r="CO12" i="43"/>
  <c r="CN12" i="43"/>
  <c r="CS11" i="43"/>
  <c r="CU7" i="43"/>
  <c r="CQ7" i="43"/>
  <c r="CO7" i="43"/>
  <c r="CN7" i="43"/>
  <c r="CU6" i="43"/>
  <c r="CQ6" i="43"/>
  <c r="CO6" i="43"/>
  <c r="CN6" i="43"/>
  <c r="CU5" i="43"/>
  <c r="CQ4" i="43"/>
  <c r="CU2" i="43"/>
  <c r="CQ2" i="43"/>
  <c r="CL28" i="43"/>
  <c r="CL27" i="43"/>
  <c r="CL26" i="43"/>
  <c r="CL25" i="43"/>
  <c r="CL23" i="43"/>
  <c r="CL22" i="43"/>
  <c r="CL20" i="43"/>
  <c r="CL13" i="43"/>
  <c r="CL11" i="43"/>
  <c r="CL7" i="43"/>
  <c r="CL6" i="43"/>
  <c r="CL5" i="43"/>
  <c r="CL3" i="43"/>
  <c r="CJ28" i="43"/>
  <c r="CJ27" i="43"/>
  <c r="CJ26" i="43"/>
  <c r="CJ25" i="43"/>
  <c r="CJ23" i="43"/>
  <c r="CJ22" i="43"/>
  <c r="CJ20" i="43"/>
  <c r="CJ19" i="43"/>
  <c r="CJ7" i="43"/>
  <c r="CJ6" i="43"/>
  <c r="CJ5" i="43"/>
  <c r="CJ4" i="43"/>
  <c r="CJ2" i="43"/>
  <c r="CH28" i="43"/>
  <c r="CH27" i="43"/>
  <c r="CH26" i="43"/>
  <c r="CH25" i="43"/>
  <c r="CH23" i="43"/>
  <c r="CH22" i="43"/>
  <c r="CH19" i="43"/>
  <c r="CH17" i="43"/>
  <c r="CH7" i="43"/>
  <c r="CH5" i="43"/>
  <c r="CH4" i="43"/>
  <c r="CH2" i="43"/>
  <c r="CF28" i="43"/>
  <c r="CE28" i="43"/>
  <c r="CF27" i="43"/>
  <c r="CE27" i="43"/>
  <c r="CF26" i="43"/>
  <c r="CE26" i="43"/>
  <c r="CF25" i="43"/>
  <c r="CE25" i="43"/>
  <c r="CF23" i="43"/>
  <c r="CE23" i="43"/>
  <c r="CF22" i="43"/>
  <c r="CE22" i="43"/>
  <c r="CF13" i="43"/>
  <c r="CE13" i="43"/>
  <c r="CF11" i="43"/>
  <c r="CE11" i="43"/>
  <c r="CF7" i="43"/>
  <c r="CE7" i="43"/>
  <c r="CF5" i="43"/>
  <c r="CE5" i="43"/>
  <c r="CF4" i="43"/>
  <c r="CE4" i="43"/>
  <c r="CE2" i="43"/>
  <c r="CH20" i="43"/>
  <c r="CF20" i="43"/>
  <c r="CE20" i="43"/>
  <c r="CL19" i="43"/>
  <c r="CF19" i="43"/>
  <c r="CE19" i="43"/>
  <c r="CL17" i="43"/>
  <c r="CJ17" i="43"/>
  <c r="CF17" i="43"/>
  <c r="CE17" i="43"/>
  <c r="CH13" i="43"/>
  <c r="CL12" i="43"/>
  <c r="CJ12" i="43"/>
  <c r="CH12" i="43"/>
  <c r="CF12" i="43"/>
  <c r="CE12" i="43"/>
  <c r="CJ11" i="43"/>
  <c r="CH11" i="43"/>
  <c r="CF10" i="43"/>
  <c r="CE10" i="43"/>
  <c r="CH6" i="43"/>
  <c r="CF6" i="43"/>
  <c r="CE6" i="43"/>
  <c r="CJ3" i="43"/>
  <c r="CH3" i="43"/>
  <c r="CF3" i="43"/>
  <c r="CE3" i="43"/>
  <c r="CL2" i="43"/>
  <c r="CF2" i="43"/>
  <c r="CC25" i="43"/>
  <c r="CC22" i="43"/>
  <c r="CC20" i="43"/>
  <c r="CC19" i="43"/>
  <c r="CC18" i="43"/>
  <c r="CC17" i="43"/>
  <c r="CC13" i="43"/>
  <c r="CC11" i="43"/>
  <c r="CC10" i="43"/>
  <c r="CC6" i="43"/>
  <c r="CC2" i="43"/>
  <c r="CA25" i="43"/>
  <c r="CA24" i="43"/>
  <c r="CA22" i="43"/>
  <c r="CA21" i="43"/>
  <c r="CA20" i="43"/>
  <c r="CA19" i="43"/>
  <c r="CA18" i="43"/>
  <c r="CA17" i="43"/>
  <c r="CA13" i="43"/>
  <c r="CA11" i="43"/>
  <c r="CA10" i="43"/>
  <c r="CA6" i="43"/>
  <c r="CA4" i="43"/>
  <c r="CA3" i="43"/>
  <c r="CA2" i="43"/>
  <c r="BY25" i="43"/>
  <c r="BY24" i="43"/>
  <c r="BY23" i="43"/>
  <c r="BY22" i="43"/>
  <c r="BY21" i="43"/>
  <c r="BY19" i="43"/>
  <c r="BY18" i="43"/>
  <c r="BY17" i="43"/>
  <c r="BY13" i="43"/>
  <c r="BY11" i="43"/>
  <c r="BY10" i="43"/>
  <c r="BY6" i="43"/>
  <c r="BY4" i="43"/>
  <c r="BY3" i="43"/>
  <c r="BW25" i="43"/>
  <c r="BV25" i="43"/>
  <c r="BW23" i="43"/>
  <c r="BV23" i="43"/>
  <c r="BW22" i="43"/>
  <c r="BV22" i="43"/>
  <c r="BW21" i="43"/>
  <c r="BV21" i="43"/>
  <c r="BV20" i="43"/>
  <c r="BW24" i="43"/>
  <c r="BV24" i="43"/>
  <c r="BW19" i="43"/>
  <c r="BV19" i="43"/>
  <c r="BV18" i="43"/>
  <c r="BW10" i="43"/>
  <c r="BV10" i="43"/>
  <c r="BV13" i="43"/>
  <c r="BW11" i="43"/>
  <c r="BW6" i="43"/>
  <c r="BW4" i="43"/>
  <c r="BV4" i="43"/>
  <c r="BW3" i="43"/>
  <c r="BV3" i="43"/>
  <c r="BV11" i="43"/>
  <c r="BV6" i="43"/>
  <c r="BW2" i="43"/>
  <c r="BV2" i="43"/>
  <c r="CC24" i="43"/>
  <c r="CC23" i="43"/>
  <c r="CA23" i="43"/>
  <c r="BY20" i="43"/>
  <c r="BW20" i="43"/>
  <c r="BW18" i="43"/>
  <c r="BW17" i="43"/>
  <c r="BV17" i="43"/>
  <c r="CC12" i="43"/>
  <c r="CA12" i="43"/>
  <c r="BY12" i="43"/>
  <c r="BW12" i="43"/>
  <c r="BV12" i="43"/>
  <c r="CC3" i="43"/>
  <c r="BY2" i="43"/>
  <c r="BT24" i="43"/>
  <c r="BT23" i="43"/>
  <c r="BT22" i="43"/>
  <c r="BT20" i="43"/>
  <c r="BT18" i="43"/>
  <c r="BT17" i="43"/>
  <c r="BT11" i="43"/>
  <c r="BT10" i="43"/>
  <c r="BT4" i="43"/>
  <c r="BT3" i="43"/>
  <c r="BT2" i="43"/>
  <c r="BR23" i="43"/>
  <c r="BR22" i="43"/>
  <c r="BR20" i="43"/>
  <c r="BR17" i="43"/>
  <c r="BR11" i="43"/>
  <c r="BR10" i="43"/>
  <c r="BR4" i="43"/>
  <c r="BR2" i="43"/>
  <c r="BP23" i="43"/>
  <c r="BP22" i="43"/>
  <c r="BP20" i="43"/>
  <c r="BP18" i="43"/>
  <c r="BP17" i="43"/>
  <c r="BP11" i="43"/>
  <c r="BP10" i="43"/>
  <c r="BP4" i="43"/>
  <c r="BP3" i="43"/>
  <c r="BP2" i="43"/>
  <c r="BN24" i="43"/>
  <c r="BM24" i="43"/>
  <c r="BN23" i="43"/>
  <c r="BM23" i="43"/>
  <c r="BN22" i="43"/>
  <c r="BM22" i="43"/>
  <c r="BM20" i="43"/>
  <c r="BN20" i="43"/>
  <c r="BN18" i="43"/>
  <c r="BM18" i="43"/>
  <c r="BN17" i="43"/>
  <c r="BN11" i="43"/>
  <c r="BM11" i="43"/>
  <c r="BN10" i="43"/>
  <c r="BM10" i="43"/>
  <c r="BN3" i="43"/>
  <c r="BN4" i="43"/>
  <c r="BM4" i="43"/>
  <c r="BM3" i="43"/>
  <c r="BM2" i="43"/>
  <c r="BR24" i="43"/>
  <c r="BP24" i="43"/>
  <c r="BR18" i="43"/>
  <c r="BM17" i="43"/>
  <c r="BT12" i="43"/>
  <c r="BR12" i="43"/>
  <c r="BP12" i="43"/>
  <c r="BN12" i="43"/>
  <c r="BM12" i="43"/>
  <c r="BN2" i="43"/>
  <c r="BK24" i="43"/>
  <c r="BK23" i="43"/>
  <c r="BK18" i="43"/>
  <c r="BK16" i="43"/>
  <c r="BK12" i="43"/>
  <c r="BK8" i="43"/>
  <c r="BK7" i="43"/>
  <c r="BK3" i="43"/>
  <c r="BI23" i="43"/>
  <c r="BI18" i="43"/>
  <c r="BI13" i="43"/>
  <c r="BI12" i="43"/>
  <c r="BI10" i="43"/>
  <c r="BI8" i="43"/>
  <c r="BI7" i="43"/>
  <c r="BI3" i="43"/>
  <c r="BG24" i="43"/>
  <c r="BG23" i="43"/>
  <c r="BG19" i="43"/>
  <c r="BG18" i="43"/>
  <c r="BG13" i="43"/>
  <c r="BG12" i="43"/>
  <c r="BG10" i="43"/>
  <c r="BG8" i="43"/>
  <c r="BG7" i="43"/>
  <c r="BG3" i="43"/>
  <c r="BG2" i="43"/>
  <c r="BI24" i="43"/>
  <c r="BE24" i="43"/>
  <c r="BD24" i="43"/>
  <c r="BE23" i="43"/>
  <c r="BD23" i="43"/>
  <c r="BD18" i="43"/>
  <c r="BE18" i="43"/>
  <c r="BD16" i="43"/>
  <c r="BE16" i="43"/>
  <c r="BI16" i="43"/>
  <c r="BG16" i="43"/>
  <c r="BE13" i="43"/>
  <c r="BD13" i="43"/>
  <c r="BE12" i="43"/>
  <c r="BD12" i="43"/>
  <c r="BE8" i="43"/>
  <c r="BD8" i="43"/>
  <c r="BD7" i="43"/>
  <c r="BE3" i="43"/>
  <c r="BD3" i="43"/>
  <c r="BK19" i="43"/>
  <c r="BI19" i="43"/>
  <c r="BE19" i="43"/>
  <c r="BD19" i="43"/>
  <c r="BK17" i="43"/>
  <c r="BI17" i="43"/>
  <c r="BG17" i="43"/>
  <c r="BE17" i="43"/>
  <c r="BD17" i="43"/>
  <c r="BK13" i="43"/>
  <c r="BK10" i="43"/>
  <c r="BE10" i="43"/>
  <c r="BD10" i="43"/>
  <c r="BE7" i="43"/>
  <c r="BK2" i="43"/>
  <c r="BI2" i="43"/>
  <c r="BE2" i="43"/>
  <c r="BD2" i="43"/>
  <c r="BB20" i="43"/>
  <c r="BB19" i="43"/>
  <c r="BB10" i="43"/>
  <c r="BB3" i="43"/>
  <c r="AZ22" i="43"/>
  <c r="AZ7" i="43"/>
  <c r="AZ6" i="43"/>
  <c r="AZ5" i="43"/>
  <c r="AX17" i="43"/>
  <c r="AX22" i="43"/>
  <c r="AX6" i="43"/>
  <c r="AX7" i="43"/>
  <c r="AX5" i="43"/>
  <c r="AX3" i="43"/>
  <c r="AX2" i="43"/>
  <c r="AV19" i="43"/>
  <c r="AU19" i="43"/>
  <c r="AU14" i="43"/>
  <c r="AU22" i="43"/>
  <c r="AU20" i="43"/>
  <c r="AU17" i="43"/>
  <c r="AU13" i="43"/>
  <c r="AU10" i="43"/>
  <c r="AU7" i="43"/>
  <c r="AV7" i="43"/>
  <c r="AU2" i="43"/>
  <c r="AV2" i="43"/>
  <c r="BB22" i="43"/>
  <c r="AV22" i="43"/>
  <c r="AZ20" i="43"/>
  <c r="AX20" i="43"/>
  <c r="AV20" i="43"/>
  <c r="AZ19" i="43"/>
  <c r="AX19" i="43"/>
  <c r="BB17" i="43"/>
  <c r="AZ17" i="43"/>
  <c r="AV17" i="43"/>
  <c r="BB14" i="43"/>
  <c r="AZ14" i="43"/>
  <c r="AX14" i="43"/>
  <c r="AV14" i="43"/>
  <c r="BB13" i="43"/>
  <c r="AZ13" i="43"/>
  <c r="AX13" i="43"/>
  <c r="AV13" i="43"/>
  <c r="AZ10" i="43"/>
  <c r="AX10" i="43"/>
  <c r="AV10" i="43"/>
  <c r="BB7" i="43"/>
  <c r="BB6" i="43"/>
  <c r="AV6" i="43"/>
  <c r="AU6" i="43"/>
  <c r="BB5" i="43"/>
  <c r="AV5" i="43"/>
  <c r="AU5" i="43"/>
  <c r="AZ3" i="43"/>
  <c r="AV3" i="43"/>
  <c r="AU3" i="43"/>
  <c r="BB2" i="43"/>
  <c r="AZ2" i="43"/>
  <c r="AS23" i="43"/>
  <c r="AS22" i="43"/>
  <c r="AS21" i="43"/>
  <c r="AS20" i="43"/>
  <c r="AS19" i="43"/>
  <c r="AS14" i="43"/>
  <c r="AS13" i="43"/>
  <c r="AS12" i="43"/>
  <c r="AS11" i="43"/>
  <c r="AS10" i="43"/>
  <c r="AS8" i="43"/>
  <c r="AS7" i="43"/>
  <c r="AS4" i="43"/>
  <c r="AS2" i="43"/>
  <c r="AQ22" i="43"/>
  <c r="AQ16" i="43"/>
  <c r="AQ12" i="43"/>
  <c r="AQ11" i="43"/>
  <c r="AQ10" i="43"/>
  <c r="AQ8" i="43"/>
  <c r="AQ7" i="43"/>
  <c r="AQ2" i="43"/>
  <c r="AO22" i="43"/>
  <c r="AQ23" i="43"/>
  <c r="AO23" i="43"/>
  <c r="AM22" i="43"/>
  <c r="AL22" i="43"/>
  <c r="AL23" i="43"/>
  <c r="AM23" i="43"/>
  <c r="AO17" i="43"/>
  <c r="AO11" i="43"/>
  <c r="AO10" i="43"/>
  <c r="AO8" i="43"/>
  <c r="AO4" i="43"/>
  <c r="AO3" i="43"/>
  <c r="AO6" i="43"/>
  <c r="AO5" i="43"/>
  <c r="AO2" i="43"/>
  <c r="AM21" i="43"/>
  <c r="AL21" i="43"/>
  <c r="AM19" i="43"/>
  <c r="AL19" i="43"/>
  <c r="AM17" i="43"/>
  <c r="AL17" i="43"/>
  <c r="AM16" i="43"/>
  <c r="AL16" i="43"/>
  <c r="AM13" i="43"/>
  <c r="AL13" i="43"/>
  <c r="AM11" i="43"/>
  <c r="AL11" i="43"/>
  <c r="AM10" i="43"/>
  <c r="AL10" i="43"/>
  <c r="AM9" i="43"/>
  <c r="AL9" i="43"/>
  <c r="AM7" i="43"/>
  <c r="AL7" i="43"/>
  <c r="AM3" i="43"/>
  <c r="AL3" i="43"/>
  <c r="AQ21" i="43"/>
  <c r="AO21" i="43"/>
  <c r="AQ20" i="43"/>
  <c r="AO20" i="43"/>
  <c r="AM20" i="43"/>
  <c r="AL20" i="43"/>
  <c r="AQ19" i="43"/>
  <c r="AO19" i="43"/>
  <c r="AS17" i="43"/>
  <c r="AQ17" i="43"/>
  <c r="AS16" i="43"/>
  <c r="AO16" i="43"/>
  <c r="AQ14" i="43"/>
  <c r="AO14" i="43"/>
  <c r="AM14" i="43"/>
  <c r="AL14" i="43"/>
  <c r="AQ13" i="43"/>
  <c r="AO13" i="43"/>
  <c r="AO12" i="43"/>
  <c r="AM12" i="43"/>
  <c r="AL12" i="43"/>
  <c r="AM8" i="43"/>
  <c r="AL8" i="43"/>
  <c r="AO7" i="43"/>
  <c r="AS6" i="43"/>
  <c r="AQ6" i="43"/>
  <c r="AM6" i="43"/>
  <c r="AL6" i="43"/>
  <c r="AS5" i="43"/>
  <c r="AQ5" i="43"/>
  <c r="AM5" i="43"/>
  <c r="AL5" i="43"/>
  <c r="AQ4" i="43"/>
  <c r="AM4" i="43"/>
  <c r="AL4" i="43"/>
  <c r="AS3" i="43"/>
  <c r="AQ3" i="43"/>
  <c r="AM2" i="43"/>
  <c r="AL2" i="43"/>
  <c r="AJ21" i="43"/>
  <c r="AH21" i="43"/>
  <c r="AH20" i="43"/>
  <c r="AF21" i="43"/>
  <c r="AF20" i="43"/>
  <c r="AD21" i="43"/>
  <c r="AD20" i="43"/>
  <c r="AC21" i="43"/>
  <c r="AC20" i="43"/>
  <c r="AH18" i="43"/>
  <c r="AH17" i="43"/>
  <c r="AH16" i="43"/>
  <c r="AH12" i="43"/>
  <c r="AH11" i="43"/>
  <c r="AH10" i="43"/>
  <c r="AH15" i="43"/>
  <c r="AH8" i="43"/>
  <c r="AH7" i="43"/>
  <c r="AH5" i="43"/>
  <c r="AH2" i="43"/>
  <c r="AF19" i="43"/>
  <c r="AF18" i="43"/>
  <c r="AF16" i="43"/>
  <c r="AF15" i="43"/>
  <c r="AF14" i="43"/>
  <c r="AF13" i="43"/>
  <c r="AF12" i="43"/>
  <c r="AF11" i="43"/>
  <c r="AF10" i="43"/>
  <c r="AF8" i="43"/>
  <c r="AF7" i="43"/>
  <c r="AF6" i="43"/>
  <c r="AF5" i="43"/>
  <c r="AF4" i="43"/>
  <c r="AF3" i="43"/>
  <c r="AF2" i="43"/>
  <c r="AH19" i="43"/>
  <c r="AH14" i="43"/>
  <c r="AH13" i="43"/>
  <c r="AH6" i="43"/>
  <c r="AH4" i="43"/>
  <c r="AC19" i="43"/>
  <c r="AC18" i="43"/>
  <c r="AD18" i="43"/>
  <c r="AD17" i="43"/>
  <c r="AC17" i="43"/>
  <c r="AD16" i="43"/>
  <c r="AC16" i="43"/>
  <c r="AD15" i="43"/>
  <c r="AC15" i="43"/>
  <c r="AC14" i="43"/>
  <c r="AD14" i="43"/>
  <c r="AD13" i="43"/>
  <c r="AC13" i="43"/>
  <c r="AD12" i="43"/>
  <c r="AC12" i="43"/>
  <c r="AD11" i="43"/>
  <c r="AC11" i="43"/>
  <c r="AD10" i="43"/>
  <c r="AC10" i="43"/>
  <c r="AD7" i="43"/>
  <c r="AC7" i="43"/>
  <c r="AD4" i="43"/>
  <c r="AC4" i="43"/>
  <c r="AJ19" i="43"/>
  <c r="AD19" i="43"/>
  <c r="AJ18" i="43"/>
  <c r="AJ17" i="43"/>
  <c r="AJ16" i="43"/>
  <c r="AJ11" i="43"/>
  <c r="AJ10" i="43"/>
  <c r="AJ8" i="43"/>
  <c r="AD8" i="43"/>
  <c r="AC8" i="43"/>
  <c r="AJ7" i="43"/>
  <c r="AJ6" i="43"/>
  <c r="AD6" i="43"/>
  <c r="AC6" i="43"/>
  <c r="AJ5" i="43"/>
  <c r="AD5" i="43"/>
  <c r="AC5" i="43"/>
  <c r="AJ3" i="43"/>
  <c r="AH3" i="43"/>
  <c r="AD3" i="43"/>
  <c r="AC3" i="43"/>
  <c r="AJ2" i="43"/>
  <c r="AD2" i="43"/>
  <c r="AC2" i="43"/>
  <c r="AA19" i="43"/>
  <c r="AA18" i="43"/>
  <c r="AA16" i="43"/>
  <c r="AA11" i="43"/>
  <c r="AA10" i="43"/>
  <c r="AA9" i="43"/>
  <c r="AA7" i="43"/>
  <c r="AA5" i="43"/>
  <c r="AA3" i="43"/>
  <c r="AA2" i="43"/>
  <c r="Y18" i="43"/>
  <c r="Y16" i="43"/>
  <c r="Y11" i="43"/>
  <c r="Y9" i="43"/>
  <c r="Y10" i="43"/>
  <c r="W19" i="43"/>
  <c r="W18" i="43"/>
  <c r="W17" i="43"/>
  <c r="W16" i="43"/>
  <c r="W15" i="43"/>
  <c r="W11" i="43"/>
  <c r="W10" i="43"/>
  <c r="W9" i="43"/>
  <c r="W8" i="43"/>
  <c r="W7" i="43"/>
  <c r="W6" i="43"/>
  <c r="W5" i="43"/>
  <c r="W3" i="43"/>
  <c r="W2" i="43"/>
  <c r="Y17" i="43"/>
  <c r="Y8" i="43"/>
  <c r="Y15" i="43"/>
  <c r="Y2" i="43"/>
  <c r="Y3" i="43"/>
  <c r="Y6" i="43"/>
  <c r="Y19" i="43"/>
  <c r="U19" i="43"/>
  <c r="T19" i="43"/>
  <c r="U17" i="43"/>
  <c r="T17" i="43"/>
  <c r="U16" i="43"/>
  <c r="T16" i="43"/>
  <c r="T11" i="43"/>
  <c r="U10" i="43"/>
  <c r="T10" i="43"/>
  <c r="U9" i="43"/>
  <c r="T9" i="43"/>
  <c r="U15" i="43"/>
  <c r="T15" i="43"/>
  <c r="U7" i="43"/>
  <c r="T7" i="43"/>
  <c r="U3" i="43"/>
  <c r="T3" i="43"/>
  <c r="U2" i="43"/>
  <c r="T2" i="43"/>
  <c r="U18" i="43"/>
  <c r="T18" i="43"/>
  <c r="AA17" i="43"/>
  <c r="U11" i="43"/>
  <c r="AA8" i="43"/>
  <c r="U8" i="43"/>
  <c r="T8" i="43"/>
  <c r="Y7" i="43"/>
  <c r="AA6" i="43"/>
  <c r="U6" i="43"/>
  <c r="T6" i="43"/>
  <c r="Y5" i="43"/>
  <c r="U5" i="43"/>
  <c r="T5" i="43"/>
  <c r="R19" i="43"/>
  <c r="R18" i="43"/>
  <c r="R17" i="43"/>
  <c r="R16" i="43"/>
  <c r="R14" i="43"/>
  <c r="R11" i="43"/>
  <c r="R10" i="43"/>
  <c r="R9" i="43"/>
  <c r="R8" i="43"/>
  <c r="R6" i="43"/>
  <c r="R5" i="43"/>
  <c r="R2" i="43"/>
  <c r="P18" i="43"/>
  <c r="P17" i="43"/>
  <c r="P16" i="43"/>
  <c r="P15" i="43"/>
  <c r="P12" i="43"/>
  <c r="P11" i="43"/>
  <c r="P10" i="43"/>
  <c r="P9" i="43"/>
  <c r="P8" i="43"/>
  <c r="P7" i="43"/>
  <c r="P6" i="43"/>
  <c r="P5" i="43"/>
  <c r="P4" i="43"/>
  <c r="P3" i="43"/>
  <c r="N19" i="43"/>
  <c r="N18" i="43"/>
  <c r="N16" i="43"/>
  <c r="N15" i="43"/>
  <c r="N12" i="43"/>
  <c r="N10" i="43"/>
  <c r="N9" i="43"/>
  <c r="N8" i="43"/>
  <c r="N7" i="43"/>
  <c r="N6" i="43"/>
  <c r="N5" i="43"/>
  <c r="L19" i="43"/>
  <c r="L18" i="43"/>
  <c r="K19" i="43"/>
  <c r="P19" i="43"/>
  <c r="K18" i="43"/>
  <c r="L17" i="43"/>
  <c r="K17" i="43"/>
  <c r="L16" i="43"/>
  <c r="K16" i="43"/>
  <c r="L15" i="43"/>
  <c r="K15" i="43"/>
  <c r="L12" i="43"/>
  <c r="K12" i="43"/>
  <c r="L11" i="43"/>
  <c r="K11" i="43"/>
  <c r="L10" i="43"/>
  <c r="K10" i="43"/>
  <c r="L9" i="43"/>
  <c r="K9" i="43"/>
  <c r="L8" i="43"/>
  <c r="K8" i="43"/>
  <c r="L6" i="43"/>
  <c r="K6" i="43"/>
  <c r="L5" i="43"/>
  <c r="K5" i="43"/>
  <c r="L4" i="43"/>
  <c r="K4" i="43"/>
  <c r="L2" i="43"/>
  <c r="K2" i="43"/>
  <c r="N17" i="43"/>
  <c r="P14" i="43"/>
  <c r="N14" i="43"/>
  <c r="L14" i="43"/>
  <c r="R12" i="43"/>
  <c r="N11" i="43"/>
  <c r="R7" i="43"/>
  <c r="L7" i="43"/>
  <c r="R4" i="43"/>
  <c r="N4" i="43"/>
  <c r="R3" i="43"/>
  <c r="N3" i="43"/>
  <c r="L3" i="43"/>
  <c r="P2" i="43"/>
  <c r="N2" i="43"/>
  <c r="K14" i="43"/>
  <c r="K7" i="43"/>
  <c r="K3" i="43"/>
  <c r="I18" i="43"/>
  <c r="I17" i="43"/>
  <c r="I16" i="43"/>
  <c r="I14" i="43"/>
  <c r="I13" i="43"/>
  <c r="I12" i="43"/>
  <c r="I11" i="43"/>
  <c r="I10" i="43"/>
  <c r="I9" i="43"/>
  <c r="I8" i="43"/>
  <c r="I7" i="43"/>
  <c r="I6" i="43"/>
  <c r="I5" i="43"/>
  <c r="I4" i="43"/>
  <c r="I3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3" i="43"/>
  <c r="E2" i="43"/>
  <c r="C18" i="43"/>
  <c r="B18" i="43"/>
  <c r="C17" i="43"/>
  <c r="B17" i="43"/>
  <c r="C15" i="43"/>
  <c r="B15" i="43"/>
  <c r="C14" i="43"/>
  <c r="B14" i="43"/>
  <c r="C16" i="43"/>
  <c r="B16" i="43"/>
  <c r="C13" i="43"/>
  <c r="B13" i="43"/>
  <c r="C12" i="43"/>
  <c r="B12" i="43"/>
  <c r="C11" i="43"/>
  <c r="B11" i="43"/>
  <c r="C10" i="43"/>
  <c r="B10" i="43"/>
  <c r="C9" i="43"/>
  <c r="B9" i="43"/>
  <c r="C8" i="43"/>
  <c r="B8" i="43"/>
  <c r="C7" i="43"/>
  <c r="B7" i="43"/>
  <c r="C6" i="43"/>
  <c r="B6" i="43"/>
  <c r="C5" i="43"/>
  <c r="B5" i="43"/>
  <c r="C4" i="43"/>
  <c r="B4" i="43"/>
  <c r="C3" i="43"/>
  <c r="B3" i="43"/>
  <c r="AL33" i="43"/>
  <c r="I2" i="43" l="1"/>
  <c r="G2" i="43"/>
  <c r="E4" i="43"/>
  <c r="C2" i="43"/>
</calcChain>
</file>

<file path=xl/sharedStrings.xml><?xml version="1.0" encoding="utf-8"?>
<sst xmlns="http://schemas.openxmlformats.org/spreadsheetml/2006/main" count="450" uniqueCount="107">
  <si>
    <t>Sentadilla</t>
  </si>
  <si>
    <t>Peso</t>
  </si>
  <si>
    <t>1RM</t>
  </si>
  <si>
    <t>Sentadilla %</t>
  </si>
  <si>
    <t>Hip Thrust %</t>
  </si>
  <si>
    <t>Faride</t>
  </si>
  <si>
    <t>Homali</t>
  </si>
  <si>
    <t>Denis</t>
  </si>
  <si>
    <t>Seba</t>
  </si>
  <si>
    <t>Austing</t>
  </si>
  <si>
    <t>Emerson</t>
  </si>
  <si>
    <t>Joaquin</t>
  </si>
  <si>
    <t>Junior</t>
  </si>
  <si>
    <t>Estocada B %</t>
  </si>
  <si>
    <t>CMJ carga %</t>
  </si>
  <si>
    <t>G1</t>
  </si>
  <si>
    <t>G2</t>
  </si>
  <si>
    <t>G3</t>
  </si>
  <si>
    <t>Fer</t>
  </si>
  <si>
    <t>Bulgara</t>
  </si>
  <si>
    <t>Hip</t>
  </si>
  <si>
    <t>Cmj c/c</t>
  </si>
  <si>
    <t>Deco</t>
  </si>
  <si>
    <t>Ethiene</t>
  </si>
  <si>
    <t>Huacachin</t>
  </si>
  <si>
    <t>Jerson</t>
  </si>
  <si>
    <t>Juveniles</t>
  </si>
  <si>
    <t>5 c/l</t>
  </si>
  <si>
    <t>Laines</t>
  </si>
  <si>
    <t>Mauricio</t>
  </si>
  <si>
    <t>Sebastian</t>
  </si>
  <si>
    <t>Fernando</t>
  </si>
  <si>
    <t>20 C/L</t>
  </si>
  <si>
    <t>5k C/L</t>
  </si>
  <si>
    <t>5 C/L</t>
  </si>
  <si>
    <t>30 C/L</t>
  </si>
  <si>
    <t>Damian</t>
  </si>
  <si>
    <t>Ivan</t>
  </si>
  <si>
    <t>Steven</t>
  </si>
  <si>
    <t>15k C/L</t>
  </si>
  <si>
    <t>8 c/l</t>
  </si>
  <si>
    <t>Zegarra</t>
  </si>
  <si>
    <t>10 c/l</t>
  </si>
  <si>
    <t>40 C/L</t>
  </si>
  <si>
    <t>20k C/L</t>
  </si>
  <si>
    <t>MATZUDA</t>
  </si>
  <si>
    <t>CARRANZA</t>
  </si>
  <si>
    <t>REYES</t>
  </si>
  <si>
    <t>CHUMPITAZ</t>
  </si>
  <si>
    <t>FLORES</t>
  </si>
  <si>
    <t>CORTES</t>
  </si>
  <si>
    <t>CORONEL</t>
  </si>
  <si>
    <t>MEZARINA</t>
  </si>
  <si>
    <t>ARTEAGA</t>
  </si>
  <si>
    <t>VERA</t>
  </si>
  <si>
    <t>ALVARADO</t>
  </si>
  <si>
    <t>HUACACHIN</t>
  </si>
  <si>
    <t>ISMODES</t>
  </si>
  <si>
    <t>MINAYA</t>
  </si>
  <si>
    <t>ZETA</t>
  </si>
  <si>
    <t>ROMERO</t>
  </si>
  <si>
    <t>YAÑEZ</t>
  </si>
  <si>
    <t>VEGA</t>
  </si>
  <si>
    <t>SANCHEZ</t>
  </si>
  <si>
    <t>CAICEDO</t>
  </si>
  <si>
    <t>RUIZ</t>
  </si>
  <si>
    <t>CORNEJO</t>
  </si>
  <si>
    <t>MENDOZA</t>
  </si>
  <si>
    <t>CUBA</t>
  </si>
  <si>
    <t>JOHAN</t>
  </si>
  <si>
    <t>ALFAGEME</t>
  </si>
  <si>
    <t>VARGAS</t>
  </si>
  <si>
    <t>BAZAN</t>
  </si>
  <si>
    <t>VO2 MAX</t>
  </si>
  <si>
    <t>Calagua</t>
  </si>
  <si>
    <t>Ojeda</t>
  </si>
  <si>
    <t xml:space="preserve"> 1 EQUIPO</t>
  </si>
  <si>
    <t>CRISANTO</t>
  </si>
  <si>
    <t>SUB 17</t>
  </si>
  <si>
    <t>GIMENES</t>
  </si>
  <si>
    <t>LOPEZ SANDRO</t>
  </si>
  <si>
    <t>VALLADOLID</t>
  </si>
  <si>
    <t>BELTRAN</t>
  </si>
  <si>
    <t>AGUILAR</t>
  </si>
  <si>
    <t>CORTES SEBASTIAN</t>
  </si>
  <si>
    <t>CAJAS</t>
  </si>
  <si>
    <t>HUAROTO</t>
  </si>
  <si>
    <t>CERNA</t>
  </si>
  <si>
    <t>NUÑEZ LIONEL</t>
  </si>
  <si>
    <t>QUISPE</t>
  </si>
  <si>
    <t>ZEGARRA</t>
  </si>
  <si>
    <t>OJEDA</t>
  </si>
  <si>
    <t>CALAGUA</t>
  </si>
  <si>
    <t>PANESSI</t>
  </si>
  <si>
    <t>GAVIRIA</t>
  </si>
  <si>
    <t>FUENTES</t>
  </si>
  <si>
    <t>ESTELA</t>
  </si>
  <si>
    <t>NUÑEZ PIERO</t>
  </si>
  <si>
    <t>GERARD</t>
  </si>
  <si>
    <t>CHAVEZ</t>
  </si>
  <si>
    <t>AYALA</t>
  </si>
  <si>
    <t>COSME</t>
  </si>
  <si>
    <t>SIMON</t>
  </si>
  <si>
    <t>MAINZA</t>
  </si>
  <si>
    <t>JUGADOR</t>
  </si>
  <si>
    <t>CATEGORÍA</t>
  </si>
  <si>
    <t>RM SENTADILLA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</si>
</sst>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0BC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4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1566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B0BCD"/>
      <color rgb="FF16F621"/>
      <color rgb="FF660033"/>
      <color rgb="FF0808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C9E3-DC8B-4DAA-B1FF-FEC4B69D5D92}">
  <dimension ref="A1:ES60"/>
  <sheetViews>
    <sheetView tabSelected="1" zoomScale="103" zoomScaleNormal="100" workbookViewId="0">
      <pane xSplit="1" topLeftCell="EQ1" activePane="topRight" state="frozen"/>
      <selection pane="topRight" activeCell="ES6" sqref="ES6"/>
    </sheetView>
  </sheetViews>
  <sheetFormatPr defaultRowHeight="15.6" x14ac:dyDescent="0.3"/>
  <cols>
    <col min="1" max="1" width="16.77734375" style="8" customWidth="1"/>
    <col min="2" max="2" width="10" hidden="1" customWidth="1"/>
    <col min="3" max="3" width="10.77734375" hidden="1" customWidth="1"/>
    <col min="4" max="4" width="0" hidden="1" customWidth="1"/>
    <col min="5" max="5" width="11.88671875" hidden="1" customWidth="1"/>
    <col min="6" max="6" width="0" hidden="1" customWidth="1"/>
    <col min="7" max="7" width="11.109375" hidden="1" customWidth="1"/>
    <col min="8" max="8" width="0" hidden="1" customWidth="1"/>
    <col min="9" max="9" width="11" hidden="1" customWidth="1"/>
    <col min="10" max="11" width="0" hidden="1" customWidth="1"/>
    <col min="12" max="12" width="11.5546875" hidden="1" customWidth="1"/>
    <col min="13" max="13" width="0" hidden="1" customWidth="1"/>
    <col min="14" max="14" width="11.88671875" hidden="1" customWidth="1"/>
    <col min="15" max="15" width="10.44140625" hidden="1" customWidth="1"/>
    <col min="16" max="16" width="11.6640625" hidden="1" customWidth="1"/>
    <col min="17" max="17" width="0" hidden="1" customWidth="1"/>
    <col min="18" max="18" width="11.21875" hidden="1" customWidth="1"/>
    <col min="19" max="49" width="0" hidden="1" customWidth="1"/>
    <col min="50" max="50" width="12.33203125" hidden="1" customWidth="1"/>
    <col min="51" max="53" width="0" hidden="1" customWidth="1"/>
    <col min="54" max="54" width="9.6640625" hidden="1" customWidth="1"/>
    <col min="55" max="75" width="0" hidden="1" customWidth="1"/>
    <col min="76" max="76" width="10.21875" hidden="1" customWidth="1"/>
    <col min="77" max="78" width="0" hidden="1" customWidth="1"/>
    <col min="79" max="79" width="10.44140625" hidden="1" customWidth="1"/>
    <col min="80" max="146" width="0" hidden="1" customWidth="1"/>
    <col min="147" max="147" width="9.6640625" bestFit="1" customWidth="1"/>
    <col min="148" max="148" width="10.88671875" bestFit="1" customWidth="1"/>
  </cols>
  <sheetData>
    <row r="1" spans="1:149" x14ac:dyDescent="0.3">
      <c r="A1" s="9" t="s">
        <v>104</v>
      </c>
      <c r="B1" s="4" t="s">
        <v>2</v>
      </c>
      <c r="C1" s="4" t="s">
        <v>3</v>
      </c>
      <c r="D1" s="4" t="s">
        <v>1</v>
      </c>
      <c r="E1" s="4" t="s">
        <v>13</v>
      </c>
      <c r="F1" s="4" t="s">
        <v>1</v>
      </c>
      <c r="G1" s="4" t="s">
        <v>4</v>
      </c>
      <c r="H1" s="4" t="s">
        <v>1</v>
      </c>
      <c r="I1" s="1" t="s">
        <v>14</v>
      </c>
      <c r="J1" s="4" t="s">
        <v>1</v>
      </c>
      <c r="K1" s="4" t="s">
        <v>2</v>
      </c>
      <c r="L1" s="4" t="s">
        <v>3</v>
      </c>
      <c r="M1" s="4" t="s">
        <v>1</v>
      </c>
      <c r="N1" s="4" t="s">
        <v>13</v>
      </c>
      <c r="O1" s="4" t="s">
        <v>1</v>
      </c>
      <c r="P1" s="4" t="s">
        <v>4</v>
      </c>
      <c r="Q1" s="4" t="s">
        <v>1</v>
      </c>
      <c r="R1" s="1" t="s">
        <v>14</v>
      </c>
      <c r="S1" s="4" t="s">
        <v>1</v>
      </c>
      <c r="T1" s="4" t="s">
        <v>2</v>
      </c>
      <c r="U1" s="4" t="s">
        <v>3</v>
      </c>
      <c r="V1" s="4" t="s">
        <v>1</v>
      </c>
      <c r="W1" s="4" t="s">
        <v>13</v>
      </c>
      <c r="X1" s="4" t="s">
        <v>1</v>
      </c>
      <c r="Y1" s="7" t="s">
        <v>4</v>
      </c>
      <c r="Z1" s="4" t="s">
        <v>1</v>
      </c>
      <c r="AA1" s="1" t="s">
        <v>14</v>
      </c>
      <c r="AB1" s="4" t="s">
        <v>1</v>
      </c>
      <c r="AC1" s="4" t="s">
        <v>2</v>
      </c>
      <c r="AD1" s="4" t="s">
        <v>3</v>
      </c>
      <c r="AE1" s="4" t="s">
        <v>1</v>
      </c>
      <c r="AF1" s="4" t="s">
        <v>13</v>
      </c>
      <c r="AG1" s="4" t="s">
        <v>1</v>
      </c>
      <c r="AH1" s="7" t="s">
        <v>4</v>
      </c>
      <c r="AI1" s="4" t="s">
        <v>1</v>
      </c>
      <c r="AJ1" s="1" t="s">
        <v>14</v>
      </c>
      <c r="AK1" s="4" t="s">
        <v>1</v>
      </c>
      <c r="AL1" s="4" t="s">
        <v>2</v>
      </c>
      <c r="AM1" s="4" t="s">
        <v>3</v>
      </c>
      <c r="AN1" s="4" t="s">
        <v>1</v>
      </c>
      <c r="AO1" s="4" t="s">
        <v>13</v>
      </c>
      <c r="AP1" s="4" t="s">
        <v>1</v>
      </c>
      <c r="AQ1" s="4" t="s">
        <v>4</v>
      </c>
      <c r="AR1" s="4" t="s">
        <v>1</v>
      </c>
      <c r="AS1" s="1" t="s">
        <v>14</v>
      </c>
      <c r="AT1" s="4" t="s">
        <v>1</v>
      </c>
      <c r="AU1" s="4" t="s">
        <v>2</v>
      </c>
      <c r="AV1" s="4" t="s">
        <v>3</v>
      </c>
      <c r="AW1" s="4" t="s">
        <v>1</v>
      </c>
      <c r="AX1" s="4" t="s">
        <v>13</v>
      </c>
      <c r="AY1" s="4" t="s">
        <v>1</v>
      </c>
      <c r="AZ1" s="4" t="s">
        <v>4</v>
      </c>
      <c r="BA1" s="4" t="s">
        <v>1</v>
      </c>
      <c r="BB1" s="1" t="s">
        <v>14</v>
      </c>
      <c r="BC1" s="4" t="s">
        <v>1</v>
      </c>
      <c r="BD1" s="4" t="s">
        <v>2</v>
      </c>
      <c r="BE1" s="4" t="s">
        <v>3</v>
      </c>
      <c r="BF1" s="4" t="s">
        <v>1</v>
      </c>
      <c r="BG1" s="4" t="s">
        <v>13</v>
      </c>
      <c r="BH1" s="4" t="s">
        <v>1</v>
      </c>
      <c r="BI1" s="4" t="s">
        <v>4</v>
      </c>
      <c r="BJ1" s="4" t="s">
        <v>1</v>
      </c>
      <c r="BK1" s="1" t="s">
        <v>14</v>
      </c>
      <c r="BL1" s="4" t="s">
        <v>1</v>
      </c>
      <c r="BM1" s="4" t="s">
        <v>2</v>
      </c>
      <c r="BN1" s="4" t="s">
        <v>3</v>
      </c>
      <c r="BO1" s="4" t="s">
        <v>1</v>
      </c>
      <c r="BP1" s="4" t="s">
        <v>13</v>
      </c>
      <c r="BQ1" s="4" t="s">
        <v>1</v>
      </c>
      <c r="BR1" s="4" t="s">
        <v>4</v>
      </c>
      <c r="BS1" s="4" t="s">
        <v>1</v>
      </c>
      <c r="BT1" s="1" t="s">
        <v>14</v>
      </c>
      <c r="BU1" s="4" t="s">
        <v>1</v>
      </c>
      <c r="BV1" s="4" t="s">
        <v>2</v>
      </c>
      <c r="BW1" s="4" t="s">
        <v>3</v>
      </c>
      <c r="BX1" s="4" t="s">
        <v>1</v>
      </c>
      <c r="BY1" s="4" t="s">
        <v>13</v>
      </c>
      <c r="BZ1" s="4" t="s">
        <v>1</v>
      </c>
      <c r="CA1" s="4" t="s">
        <v>4</v>
      </c>
      <c r="CB1" s="4" t="s">
        <v>1</v>
      </c>
      <c r="CC1" s="1" t="s">
        <v>14</v>
      </c>
      <c r="CD1" s="4" t="s">
        <v>1</v>
      </c>
      <c r="CE1" s="4" t="s">
        <v>2</v>
      </c>
      <c r="CF1" s="4" t="s">
        <v>3</v>
      </c>
      <c r="CG1" s="4" t="s">
        <v>1</v>
      </c>
      <c r="CH1" s="4" t="s">
        <v>13</v>
      </c>
      <c r="CI1" s="4" t="s">
        <v>1</v>
      </c>
      <c r="CJ1" s="4" t="s">
        <v>4</v>
      </c>
      <c r="CK1" s="4" t="s">
        <v>1</v>
      </c>
      <c r="CL1" s="1" t="s">
        <v>14</v>
      </c>
      <c r="CM1" s="4" t="s">
        <v>1</v>
      </c>
      <c r="CN1" s="4" t="s">
        <v>2</v>
      </c>
      <c r="CO1" s="4" t="s">
        <v>3</v>
      </c>
      <c r="CP1" s="4" t="s">
        <v>1</v>
      </c>
      <c r="CQ1" s="4" t="s">
        <v>13</v>
      </c>
      <c r="CR1" s="4" t="s">
        <v>1</v>
      </c>
      <c r="CS1" s="4" t="s">
        <v>4</v>
      </c>
      <c r="CT1" s="4" t="s">
        <v>1</v>
      </c>
      <c r="CU1" s="1" t="s">
        <v>14</v>
      </c>
      <c r="CV1" s="4" t="s">
        <v>1</v>
      </c>
      <c r="CW1" s="4" t="s">
        <v>2</v>
      </c>
      <c r="CX1" s="4" t="s">
        <v>3</v>
      </c>
      <c r="CY1" s="4" t="s">
        <v>1</v>
      </c>
      <c r="CZ1" s="4" t="s">
        <v>13</v>
      </c>
      <c r="DA1" s="4" t="s">
        <v>1</v>
      </c>
      <c r="DB1" s="4" t="s">
        <v>4</v>
      </c>
      <c r="DC1" s="4" t="s">
        <v>1</v>
      </c>
      <c r="DD1" s="1" t="s">
        <v>14</v>
      </c>
      <c r="DE1" s="4" t="s">
        <v>1</v>
      </c>
      <c r="DF1" s="4" t="s">
        <v>2</v>
      </c>
      <c r="DG1" s="4" t="s">
        <v>3</v>
      </c>
      <c r="DH1" s="4" t="s">
        <v>1</v>
      </c>
      <c r="DI1" s="4" t="s">
        <v>13</v>
      </c>
      <c r="DJ1" s="4" t="s">
        <v>1</v>
      </c>
      <c r="DK1" s="4" t="s">
        <v>4</v>
      </c>
      <c r="DL1" s="4" t="s">
        <v>1</v>
      </c>
      <c r="DM1" s="1" t="s">
        <v>14</v>
      </c>
      <c r="DN1" s="4" t="s">
        <v>1</v>
      </c>
      <c r="DO1" s="4" t="s">
        <v>2</v>
      </c>
      <c r="DP1" s="4" t="s">
        <v>3</v>
      </c>
      <c r="DQ1" s="4" t="s">
        <v>1</v>
      </c>
      <c r="DR1" s="4" t="s">
        <v>13</v>
      </c>
      <c r="DS1" s="4" t="s">
        <v>1</v>
      </c>
      <c r="DT1" s="4" t="s">
        <v>4</v>
      </c>
      <c r="DU1" s="4" t="s">
        <v>1</v>
      </c>
      <c r="DV1" s="1" t="s">
        <v>14</v>
      </c>
      <c r="DW1" s="4" t="s">
        <v>1</v>
      </c>
      <c r="DX1" s="4" t="s">
        <v>2</v>
      </c>
      <c r="DY1" s="4" t="s">
        <v>3</v>
      </c>
      <c r="DZ1" s="4" t="s">
        <v>1</v>
      </c>
      <c r="EA1" s="4" t="s">
        <v>13</v>
      </c>
      <c r="EB1" s="4" t="s">
        <v>1</v>
      </c>
      <c r="EC1" s="4" t="s">
        <v>4</v>
      </c>
      <c r="ED1" s="4" t="s">
        <v>1</v>
      </c>
      <c r="EE1" s="1" t="s">
        <v>14</v>
      </c>
      <c r="EF1" s="4" t="s">
        <v>1</v>
      </c>
      <c r="EG1" s="4" t="s">
        <v>2</v>
      </c>
      <c r="EH1" s="4" t="s">
        <v>3</v>
      </c>
      <c r="EI1" s="4" t="s">
        <v>1</v>
      </c>
      <c r="EJ1" s="4" t="s">
        <v>13</v>
      </c>
      <c r="EK1" s="4" t="s">
        <v>1</v>
      </c>
      <c r="EL1" s="4" t="s">
        <v>4</v>
      </c>
      <c r="EM1" s="4" t="s">
        <v>1</v>
      </c>
      <c r="EN1" s="1" t="s">
        <v>14</v>
      </c>
      <c r="EO1" s="4" t="s">
        <v>1</v>
      </c>
      <c r="EP1" s="4" t="s">
        <v>2</v>
      </c>
      <c r="EQ1" s="4" t="s">
        <v>105</v>
      </c>
      <c r="ER1" s="4" t="s">
        <v>106</v>
      </c>
      <c r="ES1" s="4" t="s">
        <v>73</v>
      </c>
    </row>
    <row r="2" spans="1:149" x14ac:dyDescent="0.3">
      <c r="A2" s="10" t="s">
        <v>45</v>
      </c>
      <c r="B2" s="11">
        <f>+(0.0333*47)*14+47</f>
        <v>68.9114</v>
      </c>
      <c r="C2" s="4">
        <f t="shared" ref="C2" si="0">102.78-2.78*14</f>
        <v>63.860000000000007</v>
      </c>
      <c r="D2" s="1">
        <v>40</v>
      </c>
      <c r="E2" s="4">
        <f>102.78-2.78*9</f>
        <v>77.760000000000005</v>
      </c>
      <c r="F2" s="1">
        <v>5</v>
      </c>
      <c r="G2" s="4">
        <f t="shared" ref="G2" si="1">102.78-2.78*14</f>
        <v>63.860000000000007</v>
      </c>
      <c r="H2" s="1">
        <v>5</v>
      </c>
      <c r="I2" s="4">
        <f t="shared" ref="I2" si="2">102.78-2.78*14</f>
        <v>63.860000000000007</v>
      </c>
      <c r="J2" s="1">
        <v>10</v>
      </c>
      <c r="K2" s="11">
        <f>+(0.0333*47)*11+47</f>
        <v>64.216099999999997</v>
      </c>
      <c r="L2" s="4">
        <f>102.78-2.78*11</f>
        <v>72.2</v>
      </c>
      <c r="M2" s="1">
        <v>40</v>
      </c>
      <c r="N2" s="4">
        <f>102.78-2.78*9</f>
        <v>77.760000000000005</v>
      </c>
      <c r="O2" s="1">
        <v>5</v>
      </c>
      <c r="P2" s="4">
        <f t="shared" ref="P2" si="3">102.78-2.78*14</f>
        <v>63.860000000000007</v>
      </c>
      <c r="Q2" s="1">
        <v>5</v>
      </c>
      <c r="R2" s="4">
        <f>102.78-2.78*12</f>
        <v>69.42</v>
      </c>
      <c r="S2" s="1">
        <v>10</v>
      </c>
      <c r="T2" s="11">
        <f>+(0.0333*47)*10+47</f>
        <v>62.651000000000003</v>
      </c>
      <c r="U2" s="4">
        <f>102.78-2.78*10</f>
        <v>74.98</v>
      </c>
      <c r="V2" s="1">
        <v>40</v>
      </c>
      <c r="W2" s="4">
        <f>102.78-2.78*8</f>
        <v>80.540000000000006</v>
      </c>
      <c r="X2" s="1">
        <v>5</v>
      </c>
      <c r="Y2" s="4">
        <f>102.78-2.78*8</f>
        <v>80.540000000000006</v>
      </c>
      <c r="Z2" s="1">
        <v>5</v>
      </c>
      <c r="AA2" s="4">
        <f>102.78-2.78*10</f>
        <v>74.98</v>
      </c>
      <c r="AB2" s="1">
        <v>10</v>
      </c>
      <c r="AC2" s="11">
        <f>+(0.0333*47)*10+47</f>
        <v>62.651000000000003</v>
      </c>
      <c r="AD2" s="4">
        <f>102.78-2.78*10</f>
        <v>74.98</v>
      </c>
      <c r="AE2" s="1">
        <v>40</v>
      </c>
      <c r="AF2" s="4">
        <f>102.78-2.78*8</f>
        <v>80.540000000000006</v>
      </c>
      <c r="AG2" s="1">
        <v>5</v>
      </c>
      <c r="AH2" s="4">
        <f>102.78-2.78*8</f>
        <v>80.540000000000006</v>
      </c>
      <c r="AI2" s="1">
        <v>5</v>
      </c>
      <c r="AJ2" s="4">
        <f>102.78-2.78*10</f>
        <v>74.98</v>
      </c>
      <c r="AK2" s="1">
        <v>10</v>
      </c>
      <c r="AL2" s="11">
        <f>+(0.0333*47)*10+47</f>
        <v>62.651000000000003</v>
      </c>
      <c r="AM2" s="4">
        <f>102.78-2.78*10</f>
        <v>74.98</v>
      </c>
      <c r="AN2" s="1">
        <v>40</v>
      </c>
      <c r="AO2" s="4">
        <f>102.78-2.78*9</f>
        <v>77.760000000000005</v>
      </c>
      <c r="AP2" s="1">
        <v>5</v>
      </c>
      <c r="AQ2" s="4">
        <f>102.78-2.78*9</f>
        <v>77.760000000000005</v>
      </c>
      <c r="AR2" s="1">
        <v>5</v>
      </c>
      <c r="AS2" s="4">
        <f>102.78-2.78*9</f>
        <v>77.760000000000005</v>
      </c>
      <c r="AT2" s="1">
        <v>10</v>
      </c>
      <c r="AU2" s="11">
        <f>+(0.0333*47)*9+47</f>
        <v>61.085900000000002</v>
      </c>
      <c r="AV2" s="4">
        <f>102.78-2.78*10</f>
        <v>74.98</v>
      </c>
      <c r="AW2" s="1">
        <v>40</v>
      </c>
      <c r="AX2" s="4">
        <f>102.78-2.78*8</f>
        <v>80.540000000000006</v>
      </c>
      <c r="AY2" s="1">
        <v>5</v>
      </c>
      <c r="AZ2" s="4">
        <f>102.78-2.78*9</f>
        <v>77.760000000000005</v>
      </c>
      <c r="BA2" s="1">
        <v>5</v>
      </c>
      <c r="BB2" s="4">
        <f>102.78-2.78*9</f>
        <v>77.760000000000005</v>
      </c>
      <c r="BC2" s="1">
        <v>10</v>
      </c>
      <c r="BD2" s="11">
        <f>+(0.0333*47)*9+47</f>
        <v>61.085900000000002</v>
      </c>
      <c r="BE2" s="4">
        <f>102.78-2.78*10</f>
        <v>74.98</v>
      </c>
      <c r="BF2" s="1">
        <v>40</v>
      </c>
      <c r="BG2" s="4">
        <f>102.78-2.78*9</f>
        <v>77.760000000000005</v>
      </c>
      <c r="BH2" s="1">
        <v>5</v>
      </c>
      <c r="BI2" s="4">
        <f>102.78-2.78*9</f>
        <v>77.760000000000005</v>
      </c>
      <c r="BJ2" s="1">
        <v>5</v>
      </c>
      <c r="BK2" s="4">
        <f>102.78-2.78*9</f>
        <v>77.760000000000005</v>
      </c>
      <c r="BL2" s="1">
        <v>10</v>
      </c>
      <c r="BM2" s="11">
        <f>+(0.0333*47)*10+47</f>
        <v>62.651000000000003</v>
      </c>
      <c r="BN2" s="4">
        <f>102.78-2.78*10</f>
        <v>74.98</v>
      </c>
      <c r="BO2" s="1">
        <v>40</v>
      </c>
      <c r="BP2" s="4">
        <f>102.78-2.78*10</f>
        <v>74.98</v>
      </c>
      <c r="BQ2" s="1">
        <v>5</v>
      </c>
      <c r="BR2" s="4">
        <f>102.78-2.78*10</f>
        <v>74.98</v>
      </c>
      <c r="BS2" s="1">
        <v>5</v>
      </c>
      <c r="BT2" s="4">
        <f>102.78-2.78*10</f>
        <v>74.98</v>
      </c>
      <c r="BU2" s="1">
        <v>10</v>
      </c>
      <c r="BV2" s="11">
        <f>+(0.0333*57)*9+57</f>
        <v>74.082899999999995</v>
      </c>
      <c r="BW2" s="4">
        <f>102.78-2.78*9</f>
        <v>77.760000000000005</v>
      </c>
      <c r="BX2" s="1">
        <v>50</v>
      </c>
      <c r="BY2" s="4">
        <f>102.78-2.78*10</f>
        <v>74.98</v>
      </c>
      <c r="BZ2" s="1">
        <v>10</v>
      </c>
      <c r="CA2" s="4">
        <f>102.78-2.78*8</f>
        <v>80.540000000000006</v>
      </c>
      <c r="CB2" s="1">
        <v>10</v>
      </c>
      <c r="CC2" s="4">
        <f>102.78-2.78*9</f>
        <v>77.760000000000005</v>
      </c>
      <c r="CD2" s="1">
        <v>10</v>
      </c>
      <c r="CE2" s="11">
        <f>+(0.0333*57)*9+57</f>
        <v>74.082899999999995</v>
      </c>
      <c r="CF2" s="4">
        <f t="shared" ref="CF2:CF7" si="4">102.78-2.78*9</f>
        <v>77.760000000000005</v>
      </c>
      <c r="CG2" s="1">
        <v>50</v>
      </c>
      <c r="CH2" s="4">
        <f>102.78-2.78*9</f>
        <v>77.760000000000005</v>
      </c>
      <c r="CI2" s="1">
        <v>10</v>
      </c>
      <c r="CJ2" s="4">
        <f>102.78-2.78*9</f>
        <v>77.760000000000005</v>
      </c>
      <c r="CK2" s="1">
        <v>7.5</v>
      </c>
      <c r="CL2" s="4">
        <f>102.78-2.78*9</f>
        <v>77.760000000000005</v>
      </c>
      <c r="CM2" s="1">
        <v>10</v>
      </c>
      <c r="CN2" s="11">
        <f>+(0.0333*57)*10+57</f>
        <v>75.980999999999995</v>
      </c>
      <c r="CO2" s="4">
        <f>102.78-2.78*10</f>
        <v>74.98</v>
      </c>
      <c r="CP2" s="1">
        <v>50</v>
      </c>
      <c r="CQ2" s="4">
        <f>102.78-2.78*9</f>
        <v>77.760000000000005</v>
      </c>
      <c r="CR2" s="1">
        <v>10</v>
      </c>
      <c r="CS2" s="4">
        <f>102.78-2.78*10</f>
        <v>74.98</v>
      </c>
      <c r="CT2" s="1">
        <v>7.5</v>
      </c>
      <c r="CU2" s="4">
        <f>102.78-2.78*9</f>
        <v>77.760000000000005</v>
      </c>
      <c r="CV2" s="1">
        <v>10</v>
      </c>
      <c r="CW2" s="11">
        <f>+(0.0333*57)*9+57</f>
        <v>74.082899999999995</v>
      </c>
      <c r="CX2" s="4">
        <f>102.78-2.78*9</f>
        <v>77.760000000000005</v>
      </c>
      <c r="CY2" s="1">
        <v>50</v>
      </c>
      <c r="CZ2" s="4"/>
      <c r="DA2" s="1">
        <v>10</v>
      </c>
      <c r="DB2" s="4"/>
      <c r="DC2" s="1"/>
      <c r="DD2" s="4"/>
      <c r="DE2" s="1"/>
      <c r="DF2" s="11">
        <f>+(0.0333*67)*9+67</f>
        <v>87.079900000000009</v>
      </c>
      <c r="DG2" s="4">
        <f>102.78-2.78*9</f>
        <v>77.760000000000005</v>
      </c>
      <c r="DH2" s="1">
        <v>60</v>
      </c>
      <c r="DI2" s="4">
        <f>102.78-2.78*9</f>
        <v>77.760000000000005</v>
      </c>
      <c r="DJ2" s="1">
        <v>10</v>
      </c>
      <c r="DK2" s="4">
        <f>102.78-2.78*14</f>
        <v>63.860000000000007</v>
      </c>
      <c r="DL2" s="1">
        <v>10</v>
      </c>
      <c r="DM2" s="4">
        <f>102.78-2.78*9</f>
        <v>77.760000000000005</v>
      </c>
      <c r="DN2" s="1">
        <v>20</v>
      </c>
      <c r="DO2" s="11">
        <f>+(0.0333*67*7)+67</f>
        <v>82.617699999999999</v>
      </c>
      <c r="DP2" s="4">
        <f>102.78-2.78*7</f>
        <v>83.320000000000007</v>
      </c>
      <c r="DQ2" s="1">
        <v>60</v>
      </c>
      <c r="DR2" s="4">
        <f>102.78-2.78*12</f>
        <v>69.42</v>
      </c>
      <c r="DS2" s="1">
        <v>10</v>
      </c>
      <c r="DT2" s="4">
        <f>102.78-2.78*12</f>
        <v>69.42</v>
      </c>
      <c r="DU2" s="1">
        <v>10</v>
      </c>
      <c r="DV2" s="4">
        <f>102.78-2.78*8</f>
        <v>80.540000000000006</v>
      </c>
      <c r="DW2" s="1">
        <v>20</v>
      </c>
      <c r="DX2" s="11"/>
      <c r="DY2" s="4"/>
      <c r="DZ2" s="1"/>
      <c r="EA2" s="4"/>
      <c r="EB2" s="1"/>
      <c r="EC2" s="4"/>
      <c r="ED2" s="1"/>
      <c r="EE2" s="4"/>
      <c r="EF2" s="1"/>
      <c r="EG2" s="11">
        <f>+(0.0333*67)*10+67</f>
        <v>89.311000000000007</v>
      </c>
      <c r="EH2" s="4">
        <f>102.78-2.78*10</f>
        <v>74.98</v>
      </c>
      <c r="EI2" s="1">
        <v>60</v>
      </c>
      <c r="EJ2" s="4">
        <f t="shared" ref="EJ2" si="5">102.78-2.78*8</f>
        <v>80.540000000000006</v>
      </c>
      <c r="EK2" s="1">
        <v>10</v>
      </c>
      <c r="EL2" s="4">
        <f t="shared" ref="EL2:EL3" si="6">102.78-2.78*8</f>
        <v>80.540000000000006</v>
      </c>
      <c r="EM2" s="1">
        <v>10</v>
      </c>
      <c r="EN2" s="4">
        <f>102.78-2.78*10</f>
        <v>74.98</v>
      </c>
      <c r="EO2" s="1">
        <v>20</v>
      </c>
      <c r="EP2" s="11"/>
      <c r="EQ2" s="11" t="s">
        <v>76</v>
      </c>
      <c r="ER2" s="4">
        <v>115</v>
      </c>
      <c r="ES2" s="6">
        <v>55</v>
      </c>
    </row>
    <row r="3" spans="1:149" x14ac:dyDescent="0.3">
      <c r="A3" s="10" t="s">
        <v>46</v>
      </c>
      <c r="B3" s="11">
        <f>+(0.0333*47)*10+47</f>
        <v>62.651000000000003</v>
      </c>
      <c r="C3" s="4">
        <f>102.78-2.78*10</f>
        <v>74.98</v>
      </c>
      <c r="D3" s="1">
        <v>40</v>
      </c>
      <c r="E3" s="4">
        <f>102.78-2.78*10</f>
        <v>74.98</v>
      </c>
      <c r="F3" s="1">
        <v>5</v>
      </c>
      <c r="G3" s="4">
        <f>102.78-2.78*9</f>
        <v>77.760000000000005</v>
      </c>
      <c r="H3" s="1">
        <v>5</v>
      </c>
      <c r="I3" s="4">
        <f>102.78-2.78*10</f>
        <v>74.98</v>
      </c>
      <c r="J3" s="1">
        <v>10</v>
      </c>
      <c r="K3" s="11">
        <f>+(0.0333*47)*10+47</f>
        <v>62.651000000000003</v>
      </c>
      <c r="L3" s="4">
        <f>102.78-2.78*10</f>
        <v>74.98</v>
      </c>
      <c r="M3" s="1">
        <v>40</v>
      </c>
      <c r="N3" s="4">
        <f>102.78-2.78*10</f>
        <v>74.98</v>
      </c>
      <c r="O3" s="1">
        <v>5</v>
      </c>
      <c r="P3" s="4">
        <f>102.78-2.78*10</f>
        <v>74.98</v>
      </c>
      <c r="Q3" s="1">
        <v>5</v>
      </c>
      <c r="R3" s="4">
        <f>102.78-2.78*10</f>
        <v>74.98</v>
      </c>
      <c r="S3" s="1">
        <v>10</v>
      </c>
      <c r="T3" s="11">
        <f>+(0.0333*47)*11+47</f>
        <v>64.216099999999997</v>
      </c>
      <c r="U3" s="4">
        <f>102.78-2.78*11</f>
        <v>72.2</v>
      </c>
      <c r="V3" s="1">
        <v>40</v>
      </c>
      <c r="W3" s="4">
        <f>102.78-2.78*8</f>
        <v>80.540000000000006</v>
      </c>
      <c r="X3" s="1">
        <v>5</v>
      </c>
      <c r="Y3" s="4">
        <f>102.78-2.78*8</f>
        <v>80.540000000000006</v>
      </c>
      <c r="Z3" s="1">
        <v>5</v>
      </c>
      <c r="AA3" s="4">
        <f>102.78-2.78*8</f>
        <v>80.540000000000006</v>
      </c>
      <c r="AB3" s="1">
        <v>10</v>
      </c>
      <c r="AC3" s="11">
        <f>+(0.0333*47)*11+47</f>
        <v>64.216099999999997</v>
      </c>
      <c r="AD3" s="4">
        <f>102.78-2.78*11</f>
        <v>72.2</v>
      </c>
      <c r="AE3" s="1">
        <v>40</v>
      </c>
      <c r="AF3" s="4">
        <f>102.78-2.78*8</f>
        <v>80.540000000000006</v>
      </c>
      <c r="AG3" s="1">
        <v>5</v>
      </c>
      <c r="AH3" s="4">
        <f>102.78-2.78*8</f>
        <v>80.540000000000006</v>
      </c>
      <c r="AI3" s="1">
        <v>5</v>
      </c>
      <c r="AJ3" s="4">
        <f>102.78-2.78*8</f>
        <v>80.540000000000006</v>
      </c>
      <c r="AK3" s="1">
        <v>10</v>
      </c>
      <c r="AL3" s="11">
        <f>+(0.0333*47)*10+47</f>
        <v>62.651000000000003</v>
      </c>
      <c r="AM3" s="4">
        <f>102.78-2.78*10</f>
        <v>74.98</v>
      </c>
      <c r="AN3" s="1">
        <v>40</v>
      </c>
      <c r="AO3" s="4">
        <f>102.78-2.78*8</f>
        <v>80.540000000000006</v>
      </c>
      <c r="AP3" s="1">
        <v>5</v>
      </c>
      <c r="AQ3" s="4">
        <f>102.78-2.78*8</f>
        <v>80.540000000000006</v>
      </c>
      <c r="AR3" s="1">
        <v>5</v>
      </c>
      <c r="AS3" s="4">
        <f>102.78-2.78*8</f>
        <v>80.540000000000006</v>
      </c>
      <c r="AT3" s="1">
        <v>10</v>
      </c>
      <c r="AU3" s="11">
        <f>+(0.0333*47)*10+47</f>
        <v>62.651000000000003</v>
      </c>
      <c r="AV3" s="4">
        <f>102.78-2.78*10</f>
        <v>74.98</v>
      </c>
      <c r="AW3" s="1">
        <v>40</v>
      </c>
      <c r="AX3" s="4">
        <f>102.78-2.78*7</f>
        <v>83.320000000000007</v>
      </c>
      <c r="AY3" s="1">
        <v>5</v>
      </c>
      <c r="AZ3" s="4">
        <f>102.78-2.78*8</f>
        <v>80.540000000000006</v>
      </c>
      <c r="BA3" s="1">
        <v>5</v>
      </c>
      <c r="BB3" s="4">
        <f>102.78-2.78*10</f>
        <v>74.98</v>
      </c>
      <c r="BC3" s="1">
        <v>10</v>
      </c>
      <c r="BD3" s="11">
        <f>+(0.0333*47)*11+47</f>
        <v>64.216099999999997</v>
      </c>
      <c r="BE3" s="4">
        <f>102.78-2.78*11</f>
        <v>72.2</v>
      </c>
      <c r="BF3" s="1">
        <v>40</v>
      </c>
      <c r="BG3" s="4">
        <f>102.78-2.78*9</f>
        <v>77.760000000000005</v>
      </c>
      <c r="BH3" s="1">
        <v>5</v>
      </c>
      <c r="BI3" s="4">
        <f>102.78-2.78*9</f>
        <v>77.760000000000005</v>
      </c>
      <c r="BJ3" s="1">
        <v>5</v>
      </c>
      <c r="BK3" s="4">
        <f>102.78-2.78*9</f>
        <v>77.760000000000005</v>
      </c>
      <c r="BL3" s="1">
        <v>10</v>
      </c>
      <c r="BM3" s="11">
        <f>+(0.0333*47)*10+47</f>
        <v>62.651000000000003</v>
      </c>
      <c r="BN3" s="4">
        <f>102.78-2.78*10</f>
        <v>74.98</v>
      </c>
      <c r="BO3" s="1">
        <v>40</v>
      </c>
      <c r="BP3" s="4">
        <f>102.78-2.78*8</f>
        <v>80.540000000000006</v>
      </c>
      <c r="BQ3" s="1">
        <v>5</v>
      </c>
      <c r="BR3" s="4"/>
      <c r="BS3" s="1">
        <v>5</v>
      </c>
      <c r="BT3" s="4">
        <f>102.78-2.78*10</f>
        <v>74.98</v>
      </c>
      <c r="BU3" s="1">
        <v>10</v>
      </c>
      <c r="BV3" s="11">
        <f>+(0.0333*57)*9+57</f>
        <v>74.082899999999995</v>
      </c>
      <c r="BW3" s="4">
        <f>102.78-2.78*9</f>
        <v>77.760000000000005</v>
      </c>
      <c r="BX3" s="1">
        <v>50</v>
      </c>
      <c r="BY3" s="4">
        <f>102.78-2.78*9</f>
        <v>77.760000000000005</v>
      </c>
      <c r="BZ3" s="1">
        <v>10</v>
      </c>
      <c r="CA3" s="4">
        <f>102.78-2.78*9</f>
        <v>77.760000000000005</v>
      </c>
      <c r="CB3" s="1">
        <v>10</v>
      </c>
      <c r="CC3" s="4">
        <f>102.78-2.78*10</f>
        <v>74.98</v>
      </c>
      <c r="CD3" s="1">
        <v>10</v>
      </c>
      <c r="CE3" s="11">
        <f>+(0.0333*57)*9+57</f>
        <v>74.082899999999995</v>
      </c>
      <c r="CF3" s="4">
        <f t="shared" si="4"/>
        <v>77.760000000000005</v>
      </c>
      <c r="CG3" s="1">
        <v>50</v>
      </c>
      <c r="CH3" s="4">
        <f>102.78-2.78*9</f>
        <v>77.760000000000005</v>
      </c>
      <c r="CI3" s="1">
        <v>10</v>
      </c>
      <c r="CJ3" s="4">
        <f>102.78-2.78*9</f>
        <v>77.760000000000005</v>
      </c>
      <c r="CK3" s="1">
        <v>7.5</v>
      </c>
      <c r="CL3" s="4">
        <f>102.78-2.78*10</f>
        <v>74.98</v>
      </c>
      <c r="CM3" s="1">
        <v>10</v>
      </c>
      <c r="CN3" s="11">
        <f>+(0.0333*57)*10+57</f>
        <v>75.980999999999995</v>
      </c>
      <c r="CO3" s="4">
        <f>102.78-2.78*10</f>
        <v>74.98</v>
      </c>
      <c r="CP3" s="1">
        <v>50</v>
      </c>
      <c r="CQ3" s="4">
        <f>102.78-2.78*10</f>
        <v>74.98</v>
      </c>
      <c r="CR3" s="1">
        <v>10</v>
      </c>
      <c r="CS3" s="4">
        <f>102.78-2.78*8</f>
        <v>80.540000000000006</v>
      </c>
      <c r="CT3" s="1">
        <v>7.5</v>
      </c>
      <c r="CU3" s="4">
        <f>102.78-2.78*9</f>
        <v>77.760000000000005</v>
      </c>
      <c r="CV3" s="1">
        <v>10</v>
      </c>
      <c r="CW3" s="11">
        <f>+(0.0333*57)*10+57</f>
        <v>75.980999999999995</v>
      </c>
      <c r="CX3" s="4">
        <f>102.78-2.78*10</f>
        <v>74.98</v>
      </c>
      <c r="CY3" s="1">
        <v>50</v>
      </c>
      <c r="CZ3" s="4">
        <f>102.78-2.78*10</f>
        <v>74.98</v>
      </c>
      <c r="DA3" s="1">
        <v>10</v>
      </c>
      <c r="DB3" s="4">
        <f>102.78-2.78*10</f>
        <v>74.98</v>
      </c>
      <c r="DC3" s="1">
        <v>7.5</v>
      </c>
      <c r="DD3" s="4">
        <f>102.78-2.78*10</f>
        <v>74.98</v>
      </c>
      <c r="DE3" s="1">
        <v>10</v>
      </c>
      <c r="DF3" s="11"/>
      <c r="DG3" s="4"/>
      <c r="DH3" s="1"/>
      <c r="DI3" s="4"/>
      <c r="DJ3" s="1"/>
      <c r="DK3" s="4"/>
      <c r="DL3" s="1"/>
      <c r="DM3" s="4"/>
      <c r="DN3" s="1"/>
      <c r="DO3" s="11"/>
      <c r="DP3" s="4"/>
      <c r="DQ3" s="1"/>
      <c r="DR3" s="4"/>
      <c r="DS3" s="1"/>
      <c r="DT3" s="4"/>
      <c r="DU3" s="1"/>
      <c r="DV3" s="4"/>
      <c r="DW3" s="1"/>
      <c r="DX3" s="11"/>
      <c r="DY3" s="4"/>
      <c r="DZ3" s="1"/>
      <c r="EA3" s="4"/>
      <c r="EB3" s="1"/>
      <c r="EC3" s="4"/>
      <c r="ED3" s="1"/>
      <c r="EE3" s="4"/>
      <c r="EF3" s="1"/>
      <c r="EG3" s="11">
        <f>+(0.0333*67)*9+67</f>
        <v>87.079900000000009</v>
      </c>
      <c r="EH3" s="4">
        <f>102.78-2.78*9</f>
        <v>77.760000000000005</v>
      </c>
      <c r="EI3" s="1">
        <v>60</v>
      </c>
      <c r="EJ3" s="4">
        <f>102.78-2.78*10</f>
        <v>74.98</v>
      </c>
      <c r="EK3" s="1">
        <v>10</v>
      </c>
      <c r="EL3" s="4">
        <f t="shared" si="6"/>
        <v>80.540000000000006</v>
      </c>
      <c r="EM3" s="1">
        <v>10</v>
      </c>
      <c r="EN3" s="4">
        <f t="shared" ref="EN3" si="7">102.78-2.78*8</f>
        <v>80.540000000000006</v>
      </c>
      <c r="EO3" s="1">
        <v>20</v>
      </c>
      <c r="EP3" s="11"/>
      <c r="EQ3" s="11" t="s">
        <v>76</v>
      </c>
      <c r="ER3" s="4">
        <v>95</v>
      </c>
      <c r="ES3" s="1">
        <v>51</v>
      </c>
    </row>
    <row r="4" spans="1:149" x14ac:dyDescent="0.3">
      <c r="A4" s="10" t="s">
        <v>47</v>
      </c>
      <c r="B4" s="11">
        <f>+(0.0333*47)*10+47</f>
        <v>62.651000000000003</v>
      </c>
      <c r="C4" s="4">
        <f>102.78-2.78*10</f>
        <v>74.98</v>
      </c>
      <c r="D4" s="1">
        <v>40</v>
      </c>
      <c r="E4" s="4">
        <f>102.78-2.78*10</f>
        <v>74.98</v>
      </c>
      <c r="F4" s="1">
        <v>5</v>
      </c>
      <c r="G4" s="4">
        <f>102.78-2.78*10</f>
        <v>74.98</v>
      </c>
      <c r="H4" s="1">
        <v>5</v>
      </c>
      <c r="I4" s="4">
        <f>102.78-2.78*10</f>
        <v>74.98</v>
      </c>
      <c r="J4" s="1">
        <v>10</v>
      </c>
      <c r="K4" s="11">
        <f>+(0.0333*47)*11+47</f>
        <v>64.216099999999997</v>
      </c>
      <c r="L4" s="4">
        <f>102.78-2.78*11</f>
        <v>72.2</v>
      </c>
      <c r="M4" s="1">
        <v>40</v>
      </c>
      <c r="N4" s="4">
        <f>102.78-2.78*10</f>
        <v>74.98</v>
      </c>
      <c r="O4" s="1">
        <v>5</v>
      </c>
      <c r="P4" s="4">
        <f>102.78-2.78*11</f>
        <v>72.2</v>
      </c>
      <c r="Q4" s="1">
        <v>5</v>
      </c>
      <c r="R4" s="4">
        <f>102.78-2.78*10</f>
        <v>74.98</v>
      </c>
      <c r="S4" s="1">
        <v>10</v>
      </c>
      <c r="T4" s="11"/>
      <c r="U4" s="4"/>
      <c r="V4" s="1"/>
      <c r="W4" s="4"/>
      <c r="X4" s="1">
        <v>5</v>
      </c>
      <c r="Y4" s="4"/>
      <c r="Z4" s="1"/>
      <c r="AA4" s="4"/>
      <c r="AB4" s="1">
        <v>10</v>
      </c>
      <c r="AC4" s="11">
        <f>+(0.0333*47)*8+47</f>
        <v>59.520800000000001</v>
      </c>
      <c r="AD4" s="4">
        <f>102.78-2.78*8</f>
        <v>80.540000000000006</v>
      </c>
      <c r="AE4" s="1"/>
      <c r="AF4" s="4">
        <f>102.78-2.78*8</f>
        <v>80.540000000000006</v>
      </c>
      <c r="AG4" s="1">
        <v>5</v>
      </c>
      <c r="AH4" s="4">
        <f>102.78-2.78*8</f>
        <v>80.540000000000006</v>
      </c>
      <c r="AI4" s="1"/>
      <c r="AJ4" s="4"/>
      <c r="AK4" s="1">
        <v>10</v>
      </c>
      <c r="AL4" s="11">
        <f>+(0.0333*47)*8+47</f>
        <v>59.520800000000001</v>
      </c>
      <c r="AM4" s="4">
        <f>102.78-2.78*8</f>
        <v>80.540000000000006</v>
      </c>
      <c r="AN4" s="1"/>
      <c r="AO4" s="4">
        <f>102.78-2.78*9</f>
        <v>77.760000000000005</v>
      </c>
      <c r="AP4" s="1">
        <v>5</v>
      </c>
      <c r="AQ4" s="4">
        <f>102.78-2.78*8</f>
        <v>80.540000000000006</v>
      </c>
      <c r="AR4" s="1">
        <v>5</v>
      </c>
      <c r="AS4" s="4">
        <f>102.78-2.78*8</f>
        <v>80.540000000000006</v>
      </c>
      <c r="AT4" s="1">
        <v>10</v>
      </c>
      <c r="AU4" s="11"/>
      <c r="AV4" s="4"/>
      <c r="AW4" s="1"/>
      <c r="AX4" s="4"/>
      <c r="AY4" s="1"/>
      <c r="AZ4" s="4"/>
      <c r="BA4" s="1"/>
      <c r="BB4" s="4"/>
      <c r="BC4" s="1"/>
      <c r="BD4" s="11"/>
      <c r="BE4" s="4"/>
      <c r="BF4" s="1"/>
      <c r="BG4" s="4"/>
      <c r="BH4" s="1"/>
      <c r="BI4" s="4"/>
      <c r="BJ4" s="1"/>
      <c r="BK4" s="4"/>
      <c r="BL4" s="1"/>
      <c r="BM4" s="11">
        <f>+(0.0333*47)*8+47</f>
        <v>59.520800000000001</v>
      </c>
      <c r="BN4" s="4">
        <f>102.78-2.78*8</f>
        <v>80.540000000000006</v>
      </c>
      <c r="BO4" s="1">
        <v>40</v>
      </c>
      <c r="BP4" s="4">
        <f>102.78-2.78*10</f>
        <v>74.98</v>
      </c>
      <c r="BQ4" s="1">
        <v>5</v>
      </c>
      <c r="BR4" s="4">
        <f>102.78-2.78*10</f>
        <v>74.98</v>
      </c>
      <c r="BS4" s="1">
        <v>5</v>
      </c>
      <c r="BT4" s="4">
        <f>102.78-2.78*8</f>
        <v>80.540000000000006</v>
      </c>
      <c r="BU4" s="1"/>
      <c r="BV4" s="11">
        <f>+(0.0333*57)*7+57</f>
        <v>70.286699999999996</v>
      </c>
      <c r="BW4" s="4">
        <f>102.78-2.78*7</f>
        <v>83.320000000000007</v>
      </c>
      <c r="BX4" s="1">
        <v>50</v>
      </c>
      <c r="BY4" s="4">
        <f>102.78-2.78*8</f>
        <v>80.540000000000006</v>
      </c>
      <c r="BZ4" s="1">
        <v>10</v>
      </c>
      <c r="CA4" s="4">
        <f>102.78-2.78*8</f>
        <v>80.540000000000006</v>
      </c>
      <c r="CB4" s="1">
        <v>10</v>
      </c>
      <c r="CC4" s="4"/>
      <c r="CD4" s="1"/>
      <c r="CE4" s="11">
        <f>+(0.0333*57)*9+57</f>
        <v>74.082899999999995</v>
      </c>
      <c r="CF4" s="4">
        <f t="shared" si="4"/>
        <v>77.760000000000005</v>
      </c>
      <c r="CG4" s="1">
        <v>50</v>
      </c>
      <c r="CH4" s="4">
        <f>102.78-2.78*10</f>
        <v>74.98</v>
      </c>
      <c r="CI4" s="1">
        <v>10</v>
      </c>
      <c r="CJ4" s="4">
        <f>102.78-2.78*10</f>
        <v>74.98</v>
      </c>
      <c r="CK4" s="1">
        <v>7.5</v>
      </c>
      <c r="CL4" s="4"/>
      <c r="CM4" s="1"/>
      <c r="CN4" s="11">
        <f>+(0.0333*57)*10+57</f>
        <v>75.980999999999995</v>
      </c>
      <c r="CO4" s="4">
        <f>102.78-2.78*10</f>
        <v>74.98</v>
      </c>
      <c r="CP4" s="1">
        <v>50</v>
      </c>
      <c r="CQ4" s="4">
        <f>102.78-2.78*10</f>
        <v>74.98</v>
      </c>
      <c r="CR4" s="1">
        <v>10</v>
      </c>
      <c r="CS4" s="4">
        <f>102.78-2.78*10</f>
        <v>74.98</v>
      </c>
      <c r="CT4" s="1">
        <v>7.5</v>
      </c>
      <c r="CU4" s="4"/>
      <c r="CV4" s="1"/>
      <c r="CW4" s="11"/>
      <c r="CX4" s="4"/>
      <c r="CY4" s="1"/>
      <c r="CZ4" s="4"/>
      <c r="DA4" s="1"/>
      <c r="DB4" s="4"/>
      <c r="DC4" s="1"/>
      <c r="DD4" s="4"/>
      <c r="DE4" s="1"/>
      <c r="DF4" s="11"/>
      <c r="DG4" s="4"/>
      <c r="DH4" s="1"/>
      <c r="DI4" s="4"/>
      <c r="DJ4" s="1"/>
      <c r="DK4" s="4"/>
      <c r="DL4" s="1"/>
      <c r="DM4" s="4"/>
      <c r="DN4" s="1"/>
      <c r="DO4" s="11">
        <f>+(0.0333*67)*6+67</f>
        <v>80.386600000000001</v>
      </c>
      <c r="DP4" s="4">
        <f>102.78-2.78*6</f>
        <v>86.1</v>
      </c>
      <c r="DQ4" s="1"/>
      <c r="DR4" s="4">
        <f>102.78-2.78*5</f>
        <v>88.88</v>
      </c>
      <c r="DS4" s="1"/>
      <c r="DT4" s="4">
        <f>102.78-2.78*10</f>
        <v>74.98</v>
      </c>
      <c r="DU4" s="1">
        <v>10</v>
      </c>
      <c r="DV4" s="4">
        <f>102.78-2.78*7</f>
        <v>83.320000000000007</v>
      </c>
      <c r="DW4" s="1">
        <v>20</v>
      </c>
      <c r="DX4" s="11">
        <f>+(0.0333*67)*8+67</f>
        <v>84.848799999999997</v>
      </c>
      <c r="DY4" s="4">
        <f>102.78-2.78*8</f>
        <v>80.540000000000006</v>
      </c>
      <c r="DZ4" s="1">
        <v>60</v>
      </c>
      <c r="EA4" s="4">
        <f>102.78-2.78*8</f>
        <v>80.540000000000006</v>
      </c>
      <c r="EB4" s="1">
        <v>10</v>
      </c>
      <c r="EC4" s="4">
        <f>102.78-2.78*8</f>
        <v>80.540000000000006</v>
      </c>
      <c r="ED4" s="1">
        <v>10</v>
      </c>
      <c r="EE4" s="4">
        <f>102.78-2.78*8</f>
        <v>80.540000000000006</v>
      </c>
      <c r="EF4" s="1">
        <v>20</v>
      </c>
      <c r="EG4" s="11">
        <f>+(0.0333*67)*8+67</f>
        <v>84.848799999999997</v>
      </c>
      <c r="EH4" s="4">
        <f>102.78-2.78*8</f>
        <v>80.540000000000006</v>
      </c>
      <c r="EI4" s="1">
        <v>60</v>
      </c>
      <c r="EJ4" s="4">
        <f>102.78-2.78*8</f>
        <v>80.540000000000006</v>
      </c>
      <c r="EK4" s="1">
        <v>10</v>
      </c>
      <c r="EL4" s="4">
        <f>102.78-2.78*8</f>
        <v>80.540000000000006</v>
      </c>
      <c r="EM4" s="1">
        <v>10</v>
      </c>
      <c r="EN4" s="4">
        <f>102.78-2.78*8</f>
        <v>80.540000000000006</v>
      </c>
      <c r="EO4" s="1">
        <v>20</v>
      </c>
      <c r="EP4" s="11">
        <f>+(0.0333*67)*8+67</f>
        <v>84.848799999999997</v>
      </c>
      <c r="EQ4" s="11" t="s">
        <v>76</v>
      </c>
      <c r="ER4" s="4">
        <f>102.78-2.78*8</f>
        <v>80.540000000000006</v>
      </c>
      <c r="ES4" s="1">
        <v>51</v>
      </c>
    </row>
    <row r="5" spans="1:149" x14ac:dyDescent="0.3">
      <c r="A5" s="10" t="s">
        <v>48</v>
      </c>
      <c r="B5" s="11">
        <f>+(0.0333*47)*7+47</f>
        <v>57.9557</v>
      </c>
      <c r="C5" s="4">
        <f>102.78-2.78*7</f>
        <v>83.320000000000007</v>
      </c>
      <c r="D5" s="1">
        <v>40</v>
      </c>
      <c r="E5" s="4">
        <f>102.78-2.78*9</f>
        <v>77.760000000000005</v>
      </c>
      <c r="F5" s="1">
        <v>5</v>
      </c>
      <c r="G5" s="4">
        <f>102.78-2.78*8</f>
        <v>80.540000000000006</v>
      </c>
      <c r="H5" s="1">
        <v>5</v>
      </c>
      <c r="I5" s="4">
        <f>102.78-2.78*7</f>
        <v>83.320000000000007</v>
      </c>
      <c r="J5" s="1">
        <v>10</v>
      </c>
      <c r="K5" s="11">
        <f>+(0.0333*47)*8+47</f>
        <v>59.520800000000001</v>
      </c>
      <c r="L5" s="4">
        <f>102.78-2.78*8</f>
        <v>80.540000000000006</v>
      </c>
      <c r="M5" s="1">
        <v>40</v>
      </c>
      <c r="N5" s="4">
        <f>102.78-2.78*10</f>
        <v>74.98</v>
      </c>
      <c r="O5" s="1">
        <v>5</v>
      </c>
      <c r="P5" s="4">
        <f>102.78-2.78*10</f>
        <v>74.98</v>
      </c>
      <c r="Q5" s="1">
        <v>5</v>
      </c>
      <c r="R5" s="4">
        <f>102.78-2.78*10</f>
        <v>74.98</v>
      </c>
      <c r="S5" s="1">
        <v>10</v>
      </c>
      <c r="T5" s="11">
        <f>+(0.0333*47)*8+47</f>
        <v>59.520800000000001</v>
      </c>
      <c r="U5" s="4">
        <f>102.78-2.78*8</f>
        <v>80.540000000000006</v>
      </c>
      <c r="V5" s="1">
        <v>40</v>
      </c>
      <c r="W5" s="4">
        <f>102.78-2.78*10</f>
        <v>74.98</v>
      </c>
      <c r="X5" s="1">
        <v>5</v>
      </c>
      <c r="Y5" s="4">
        <f>102.78-2.78*10</f>
        <v>74.98</v>
      </c>
      <c r="Z5" s="1">
        <v>5</v>
      </c>
      <c r="AA5" s="4">
        <f>102.78-2.78*8</f>
        <v>80.540000000000006</v>
      </c>
      <c r="AB5" s="1">
        <v>10</v>
      </c>
      <c r="AC5" s="11">
        <f>+(0.0333*47)*8+47</f>
        <v>59.520800000000001</v>
      </c>
      <c r="AD5" s="4">
        <f>102.78-2.78*8</f>
        <v>80.540000000000006</v>
      </c>
      <c r="AE5" s="1">
        <v>40</v>
      </c>
      <c r="AF5" s="4">
        <f>102.78-2.78*9</f>
        <v>77.760000000000005</v>
      </c>
      <c r="AG5" s="1">
        <v>5</v>
      </c>
      <c r="AH5" s="4">
        <f>102.78-2.78*8</f>
        <v>80.540000000000006</v>
      </c>
      <c r="AI5" s="1">
        <v>5</v>
      </c>
      <c r="AJ5" s="4">
        <f>102.78-2.78*8</f>
        <v>80.540000000000006</v>
      </c>
      <c r="AK5" s="1">
        <v>10</v>
      </c>
      <c r="AL5" s="11">
        <f>+(0.0333*47)*8+47</f>
        <v>59.520800000000001</v>
      </c>
      <c r="AM5" s="4">
        <f>102.78-2.78*8</f>
        <v>80.540000000000006</v>
      </c>
      <c r="AN5" s="1">
        <v>40</v>
      </c>
      <c r="AO5" s="4">
        <f>102.78-2.78*8</f>
        <v>80.540000000000006</v>
      </c>
      <c r="AP5" s="1">
        <v>5</v>
      </c>
      <c r="AQ5" s="4">
        <f>102.78-2.78*8</f>
        <v>80.540000000000006</v>
      </c>
      <c r="AR5" s="1">
        <v>5</v>
      </c>
      <c r="AS5" s="4">
        <f>102.78-2.78*8</f>
        <v>80.540000000000006</v>
      </c>
      <c r="AT5" s="1">
        <v>10</v>
      </c>
      <c r="AU5" s="11">
        <f>+(0.0333*47)*8+47</f>
        <v>59.520800000000001</v>
      </c>
      <c r="AV5" s="4">
        <f>102.78-2.78*8</f>
        <v>80.540000000000006</v>
      </c>
      <c r="AW5" s="1">
        <v>40</v>
      </c>
      <c r="AX5" s="4">
        <f>102.78-2.78*9</f>
        <v>77.760000000000005</v>
      </c>
      <c r="AY5" s="1">
        <v>5</v>
      </c>
      <c r="AZ5" s="4">
        <f>102.78-2.78*9</f>
        <v>77.760000000000005</v>
      </c>
      <c r="BA5" s="1">
        <v>5</v>
      </c>
      <c r="BB5" s="4">
        <f>102.78-2.78*8</f>
        <v>80.540000000000006</v>
      </c>
      <c r="BC5" s="1">
        <v>10</v>
      </c>
      <c r="BD5" s="11"/>
      <c r="BE5" s="4"/>
      <c r="BF5" s="1"/>
      <c r="BG5" s="4"/>
      <c r="BH5" s="1"/>
      <c r="BI5" s="4"/>
      <c r="BJ5" s="1"/>
      <c r="BK5" s="4"/>
      <c r="BL5" s="1"/>
      <c r="BM5" s="11"/>
      <c r="BN5" s="4"/>
      <c r="BO5" s="1"/>
      <c r="BP5" s="4"/>
      <c r="BQ5" s="1"/>
      <c r="BR5" s="4"/>
      <c r="BS5" s="1"/>
      <c r="BT5" s="4"/>
      <c r="BU5" s="1"/>
      <c r="BV5" s="11"/>
      <c r="BW5" s="4"/>
      <c r="BX5" s="1"/>
      <c r="BY5" s="4"/>
      <c r="BZ5" s="1"/>
      <c r="CA5" s="4"/>
      <c r="CB5" s="1"/>
      <c r="CC5" s="4"/>
      <c r="CD5" s="1"/>
      <c r="CE5" s="11">
        <f>+(0.0333*47)*9+47</f>
        <v>61.085900000000002</v>
      </c>
      <c r="CF5" s="4">
        <f t="shared" si="4"/>
        <v>77.760000000000005</v>
      </c>
      <c r="CG5" s="1">
        <v>40</v>
      </c>
      <c r="CH5" s="4">
        <f>102.78-2.78*9</f>
        <v>77.760000000000005</v>
      </c>
      <c r="CI5" s="1">
        <v>5</v>
      </c>
      <c r="CJ5" s="4">
        <f>102.78-2.78*10</f>
        <v>74.98</v>
      </c>
      <c r="CK5" s="1"/>
      <c r="CL5" s="4">
        <f>102.78-2.78*10</f>
        <v>74.98</v>
      </c>
      <c r="CM5" s="1"/>
      <c r="CN5" s="11">
        <f>+(0.0333*47)*10+47</f>
        <v>62.651000000000003</v>
      </c>
      <c r="CO5" s="4">
        <f>102.78-2.78*10</f>
        <v>74.98</v>
      </c>
      <c r="CP5" s="1">
        <v>40</v>
      </c>
      <c r="CQ5" s="4">
        <f>102.78-2.78*8</f>
        <v>80.540000000000006</v>
      </c>
      <c r="CR5" s="1">
        <v>5</v>
      </c>
      <c r="CS5" s="4">
        <f>102.78-2.78*8</f>
        <v>80.540000000000006</v>
      </c>
      <c r="CT5" s="1">
        <v>5</v>
      </c>
      <c r="CU5" s="4">
        <f>102.78-2.78*10</f>
        <v>74.98</v>
      </c>
      <c r="CV5" s="1"/>
      <c r="CW5" s="11">
        <f>+(0.0333*47)*10+47</f>
        <v>62.651000000000003</v>
      </c>
      <c r="CX5" s="4">
        <f>102.78-2.78*10</f>
        <v>74.98</v>
      </c>
      <c r="CY5" s="1">
        <v>40</v>
      </c>
      <c r="CZ5" s="4">
        <f>102.78-2.78*10</f>
        <v>74.98</v>
      </c>
      <c r="DA5" s="1">
        <v>5</v>
      </c>
      <c r="DB5" s="4">
        <f>102.78-2.78*10</f>
        <v>74.98</v>
      </c>
      <c r="DC5" s="1">
        <v>5</v>
      </c>
      <c r="DD5" s="4">
        <f>102.78-2.78*8</f>
        <v>80.540000000000006</v>
      </c>
      <c r="DE5" s="1"/>
      <c r="DF5" s="11"/>
      <c r="DG5" s="4"/>
      <c r="DH5" s="1"/>
      <c r="DI5" s="4"/>
      <c r="DJ5" s="1"/>
      <c r="DK5" s="4"/>
      <c r="DL5" s="1"/>
      <c r="DM5" s="4"/>
      <c r="DN5" s="1"/>
      <c r="DO5" s="11"/>
      <c r="DP5" s="4"/>
      <c r="DQ5" s="1"/>
      <c r="DR5" s="4"/>
      <c r="DS5" s="1"/>
      <c r="DT5" s="4"/>
      <c r="DU5" s="1"/>
      <c r="DV5" s="4"/>
      <c r="DW5" s="1"/>
      <c r="DX5" s="11"/>
      <c r="DY5" s="4"/>
      <c r="DZ5" s="1"/>
      <c r="EA5" s="4"/>
      <c r="EB5" s="1"/>
      <c r="EC5" s="4"/>
      <c r="ED5" s="1"/>
      <c r="EE5" s="4"/>
      <c r="EF5" s="1"/>
      <c r="EG5" s="11">
        <f>+(0.0333*67)*7+67</f>
        <v>82.617699999999999</v>
      </c>
      <c r="EH5" s="4">
        <f>102.78-2.78*7</f>
        <v>83.320000000000007</v>
      </c>
      <c r="EI5" s="1">
        <v>60</v>
      </c>
      <c r="EJ5" s="4">
        <f>102.78-2.78*9</f>
        <v>77.760000000000005</v>
      </c>
      <c r="EK5" s="1">
        <v>10</v>
      </c>
      <c r="EL5" s="4">
        <f t="shared" ref="EL5" si="8">102.78-2.78*8</f>
        <v>80.540000000000006</v>
      </c>
      <c r="EM5" s="1">
        <v>10</v>
      </c>
      <c r="EN5" s="4">
        <f t="shared" ref="EN5" si="9">102.78-2.78*8</f>
        <v>80.540000000000006</v>
      </c>
      <c r="EO5" s="1">
        <v>20</v>
      </c>
      <c r="EP5" s="11">
        <f>+(0.0333*67)*7+67</f>
        <v>82.617699999999999</v>
      </c>
      <c r="EQ5" s="11" t="s">
        <v>76</v>
      </c>
      <c r="ER5" s="4">
        <f>102.78-2.78*7</f>
        <v>83.320000000000007</v>
      </c>
      <c r="ES5" s="1">
        <v>52</v>
      </c>
    </row>
    <row r="6" spans="1:149" x14ac:dyDescent="0.3">
      <c r="A6" s="10" t="s">
        <v>49</v>
      </c>
      <c r="B6" s="11">
        <f>+(0.0333*47)*8+47</f>
        <v>59.520800000000001</v>
      </c>
      <c r="C6" s="4">
        <f>102.78-2.78*8</f>
        <v>80.540000000000006</v>
      </c>
      <c r="D6" s="1">
        <v>40</v>
      </c>
      <c r="E6" s="4">
        <f>102.78-2.78*10</f>
        <v>74.98</v>
      </c>
      <c r="F6" s="1">
        <v>5</v>
      </c>
      <c r="G6" s="4">
        <f>102.78-2.78*8</f>
        <v>80.540000000000006</v>
      </c>
      <c r="H6" s="1">
        <v>5</v>
      </c>
      <c r="I6" s="4">
        <f>102.78-2.78*8</f>
        <v>80.540000000000006</v>
      </c>
      <c r="J6" s="1">
        <v>10</v>
      </c>
      <c r="K6" s="11">
        <f>+(0.0333*47)*9+47</f>
        <v>61.085900000000002</v>
      </c>
      <c r="L6" s="4">
        <f>102.78-2.78*9</f>
        <v>77.760000000000005</v>
      </c>
      <c r="M6" s="1">
        <v>40</v>
      </c>
      <c r="N6" s="4">
        <f>102.78-2.78*8</f>
        <v>80.540000000000006</v>
      </c>
      <c r="O6" s="1">
        <v>5</v>
      </c>
      <c r="P6" s="4">
        <f>102.78-2.78*10</f>
        <v>74.98</v>
      </c>
      <c r="Q6" s="1">
        <v>5</v>
      </c>
      <c r="R6" s="4">
        <f>102.78-2.78*9</f>
        <v>77.760000000000005</v>
      </c>
      <c r="S6" s="1">
        <v>10</v>
      </c>
      <c r="T6" s="11">
        <f>+(0.0333*47)*9+47</f>
        <v>61.085900000000002</v>
      </c>
      <c r="U6" s="4">
        <f>102.78-2.78*9</f>
        <v>77.760000000000005</v>
      </c>
      <c r="V6" s="1">
        <v>40</v>
      </c>
      <c r="W6" s="4">
        <f>102.78-2.78*8</f>
        <v>80.540000000000006</v>
      </c>
      <c r="X6" s="1">
        <v>5</v>
      </c>
      <c r="Y6" s="4">
        <f>102.78-2.78*8</f>
        <v>80.540000000000006</v>
      </c>
      <c r="Z6" s="1">
        <v>5</v>
      </c>
      <c r="AA6" s="4">
        <f>102.78-2.78*9</f>
        <v>77.760000000000005</v>
      </c>
      <c r="AB6" s="1">
        <v>10</v>
      </c>
      <c r="AC6" s="11">
        <f>+(0.0333*47)*9+47</f>
        <v>61.085900000000002</v>
      </c>
      <c r="AD6" s="4">
        <f>102.78-2.78*9</f>
        <v>77.760000000000005</v>
      </c>
      <c r="AE6" s="1">
        <v>40</v>
      </c>
      <c r="AF6" s="4">
        <f>102.78-2.78*9</f>
        <v>77.760000000000005</v>
      </c>
      <c r="AG6" s="1">
        <v>5</v>
      </c>
      <c r="AH6" s="4">
        <f>102.78-2.78*9</f>
        <v>77.760000000000005</v>
      </c>
      <c r="AI6" s="1">
        <v>5</v>
      </c>
      <c r="AJ6" s="4">
        <f>102.78-2.78*9</f>
        <v>77.760000000000005</v>
      </c>
      <c r="AK6" s="1">
        <v>10</v>
      </c>
      <c r="AL6" s="11">
        <f>+(0.0333*47)*9+47</f>
        <v>61.085900000000002</v>
      </c>
      <c r="AM6" s="4">
        <f>102.78-2.78*9</f>
        <v>77.760000000000005</v>
      </c>
      <c r="AN6" s="1">
        <v>40</v>
      </c>
      <c r="AO6" s="4">
        <f>102.78-2.78*9</f>
        <v>77.760000000000005</v>
      </c>
      <c r="AP6" s="1">
        <v>5</v>
      </c>
      <c r="AQ6" s="4">
        <f>102.78-2.78*9</f>
        <v>77.760000000000005</v>
      </c>
      <c r="AR6" s="1">
        <v>5</v>
      </c>
      <c r="AS6" s="4">
        <f>102.78-2.78*9</f>
        <v>77.760000000000005</v>
      </c>
      <c r="AT6" s="1">
        <v>10</v>
      </c>
      <c r="AU6" s="11">
        <f>+(0.0333*47)*9+47</f>
        <v>61.085900000000002</v>
      </c>
      <c r="AV6" s="4">
        <f>102.78-2.78*9</f>
        <v>77.760000000000005</v>
      </c>
      <c r="AW6" s="1">
        <v>40</v>
      </c>
      <c r="AX6" s="4">
        <f>102.78-2.78*9</f>
        <v>77.760000000000005</v>
      </c>
      <c r="AY6" s="1">
        <v>5</v>
      </c>
      <c r="AZ6" s="4">
        <f>102.78-2.78*8</f>
        <v>80.540000000000006</v>
      </c>
      <c r="BA6" s="1">
        <v>5</v>
      </c>
      <c r="BB6" s="4">
        <f>102.78-2.78*9</f>
        <v>77.760000000000005</v>
      </c>
      <c r="BC6" s="1">
        <v>10</v>
      </c>
      <c r="BD6" s="11"/>
      <c r="BE6" s="4"/>
      <c r="BF6" s="1"/>
      <c r="BG6" s="4"/>
      <c r="BH6" s="1"/>
      <c r="BI6" s="4"/>
      <c r="BJ6" s="1"/>
      <c r="BK6" s="4"/>
      <c r="BL6" s="1"/>
      <c r="BM6" s="11"/>
      <c r="BN6" s="4"/>
      <c r="BO6" s="1"/>
      <c r="BP6" s="4"/>
      <c r="BQ6" s="1"/>
      <c r="BR6" s="4"/>
      <c r="BS6" s="1"/>
      <c r="BT6" s="4"/>
      <c r="BU6" s="1"/>
      <c r="BV6" s="11">
        <f>+(0.0333*57)*9+57</f>
        <v>74.082899999999995</v>
      </c>
      <c r="BW6" s="4">
        <f>102.78-2.78*9</f>
        <v>77.760000000000005</v>
      </c>
      <c r="BX6" s="1"/>
      <c r="BY6" s="4">
        <f>102.78-2.78*9</f>
        <v>77.760000000000005</v>
      </c>
      <c r="BZ6" s="1">
        <v>10</v>
      </c>
      <c r="CA6" s="4">
        <f>102.78-2.78*9</f>
        <v>77.760000000000005</v>
      </c>
      <c r="CB6" s="1">
        <v>10</v>
      </c>
      <c r="CC6" s="4">
        <f>102.78-2.78*9</f>
        <v>77.760000000000005</v>
      </c>
      <c r="CD6" s="1"/>
      <c r="CE6" s="11">
        <f>+(0.0333*57)*9+57</f>
        <v>74.082899999999995</v>
      </c>
      <c r="CF6" s="4">
        <f t="shared" si="4"/>
        <v>77.760000000000005</v>
      </c>
      <c r="CG6" s="1">
        <v>50</v>
      </c>
      <c r="CH6" s="4">
        <f>102.78-2.78*9</f>
        <v>77.760000000000005</v>
      </c>
      <c r="CI6" s="1">
        <v>10</v>
      </c>
      <c r="CJ6" s="4">
        <f>102.78-2.78*10</f>
        <v>74.98</v>
      </c>
      <c r="CK6" s="1">
        <v>7.5</v>
      </c>
      <c r="CL6" s="4">
        <f>102.78-2.78*10</f>
        <v>74.98</v>
      </c>
      <c r="CM6" s="1">
        <v>10</v>
      </c>
      <c r="CN6" s="11">
        <f>+(0.0333*57)*9+57</f>
        <v>74.082899999999995</v>
      </c>
      <c r="CO6" s="4">
        <f t="shared" ref="CO6:CO7" si="10">102.78-2.78*9</f>
        <v>77.760000000000005</v>
      </c>
      <c r="CP6" s="1">
        <v>50</v>
      </c>
      <c r="CQ6" s="4">
        <f>102.78-2.78*9</f>
        <v>77.760000000000005</v>
      </c>
      <c r="CR6" s="1">
        <v>10</v>
      </c>
      <c r="CS6" s="4">
        <f>102.78-2.78*9</f>
        <v>77.760000000000005</v>
      </c>
      <c r="CT6" s="1">
        <v>7.5</v>
      </c>
      <c r="CU6" s="4">
        <f>102.78-2.78*10</f>
        <v>74.98</v>
      </c>
      <c r="CV6" s="1">
        <v>10</v>
      </c>
      <c r="CW6" s="11"/>
      <c r="CX6" s="4"/>
      <c r="CY6" s="1"/>
      <c r="CZ6" s="4"/>
      <c r="DA6" s="1"/>
      <c r="DB6" s="4"/>
      <c r="DC6" s="1"/>
      <c r="DD6" s="4"/>
      <c r="DE6" s="1"/>
      <c r="DF6" s="11">
        <f>+(0.0333*67)*8+67</f>
        <v>84.848799999999997</v>
      </c>
      <c r="DG6" s="4">
        <f>102.78-2.78*8</f>
        <v>80.540000000000006</v>
      </c>
      <c r="DH6" s="1">
        <v>60</v>
      </c>
      <c r="DI6" s="4">
        <f>102.78-2.78*9</f>
        <v>77.760000000000005</v>
      </c>
      <c r="DJ6" s="1">
        <v>10</v>
      </c>
      <c r="DK6" s="4">
        <f>102.78-2.78*9</f>
        <v>77.760000000000005</v>
      </c>
      <c r="DL6" s="1">
        <v>10</v>
      </c>
      <c r="DM6" s="4">
        <f t="shared" ref="DM6" si="11">102.78-2.78*9</f>
        <v>77.760000000000005</v>
      </c>
      <c r="DN6" s="1">
        <v>20</v>
      </c>
      <c r="DO6" s="11"/>
      <c r="DP6" s="4"/>
      <c r="DQ6" s="1"/>
      <c r="DR6" s="4"/>
      <c r="DS6" s="1"/>
      <c r="DT6" s="4"/>
      <c r="DU6" s="1"/>
      <c r="DV6" s="4"/>
      <c r="DW6" s="1"/>
      <c r="DX6" s="11"/>
      <c r="DY6" s="4"/>
      <c r="DZ6" s="1"/>
      <c r="EA6" s="4"/>
      <c r="EB6" s="1"/>
      <c r="EC6" s="4"/>
      <c r="ED6" s="1"/>
      <c r="EE6" s="4"/>
      <c r="EF6" s="1"/>
      <c r="EG6" s="11">
        <f>+(0.0333*67)*9+67</f>
        <v>87.079900000000009</v>
      </c>
      <c r="EH6" s="4">
        <f>102.78-2.78*9</f>
        <v>77.760000000000005</v>
      </c>
      <c r="EI6" s="1">
        <v>60</v>
      </c>
      <c r="EJ6" s="4">
        <f>102.78-2.78*9</f>
        <v>77.760000000000005</v>
      </c>
      <c r="EK6" s="1">
        <v>10</v>
      </c>
      <c r="EL6" s="4">
        <f>102.78-2.78*9</f>
        <v>77.760000000000005</v>
      </c>
      <c r="EM6" s="1">
        <v>10</v>
      </c>
      <c r="EN6" s="4">
        <f>102.78-2.78*9</f>
        <v>77.760000000000005</v>
      </c>
      <c r="EO6" s="1">
        <v>20</v>
      </c>
      <c r="EP6" s="11"/>
      <c r="EQ6" s="11" t="s">
        <v>76</v>
      </c>
      <c r="ER6" s="4">
        <v>120</v>
      </c>
      <c r="ES6" s="1">
        <v>49</v>
      </c>
    </row>
    <row r="7" spans="1:149" x14ac:dyDescent="0.3">
      <c r="A7" s="10" t="s">
        <v>50</v>
      </c>
      <c r="B7" s="11">
        <f>+(0.0333*47)*6+47</f>
        <v>56.390599999999999</v>
      </c>
      <c r="C7" s="4">
        <f>102.78-2.78*6</f>
        <v>86.1</v>
      </c>
      <c r="D7" s="1">
        <v>40</v>
      </c>
      <c r="E7" s="4">
        <f>102.78-2.78*6</f>
        <v>86.1</v>
      </c>
      <c r="F7" s="1">
        <v>5</v>
      </c>
      <c r="G7" s="4">
        <f>102.78-2.78*6</f>
        <v>86.1</v>
      </c>
      <c r="H7" s="1">
        <v>5</v>
      </c>
      <c r="I7" s="4">
        <f>102.78-2.78*6</f>
        <v>86.1</v>
      </c>
      <c r="J7" s="1">
        <v>10</v>
      </c>
      <c r="K7" s="11">
        <f>+(0.0333*47)*6+47</f>
        <v>56.390599999999999</v>
      </c>
      <c r="L7" s="4">
        <f>102.78-2.78*6</f>
        <v>86.1</v>
      </c>
      <c r="M7" s="1">
        <v>40</v>
      </c>
      <c r="N7" s="4">
        <f>102.78-2.78*8</f>
        <v>80.540000000000006</v>
      </c>
      <c r="O7" s="1">
        <v>5</v>
      </c>
      <c r="P7" s="4">
        <f>102.78-2.78*8</f>
        <v>80.540000000000006</v>
      </c>
      <c r="Q7" s="1">
        <v>5</v>
      </c>
      <c r="R7" s="4">
        <f>102.78-2.78*6</f>
        <v>86.1</v>
      </c>
      <c r="S7" s="1">
        <v>10</v>
      </c>
      <c r="T7" s="11">
        <f>+(0.0333*47)*8+37</f>
        <v>49.520800000000001</v>
      </c>
      <c r="U7" s="4">
        <f>102.78-2.78*8</f>
        <v>80.540000000000006</v>
      </c>
      <c r="V7" s="1">
        <v>40</v>
      </c>
      <c r="W7" s="4">
        <f>102.78-2.78*8</f>
        <v>80.540000000000006</v>
      </c>
      <c r="X7" s="1">
        <v>5</v>
      </c>
      <c r="Y7" s="4">
        <f>102.78-2.78*8</f>
        <v>80.540000000000006</v>
      </c>
      <c r="Z7" s="1">
        <v>5</v>
      </c>
      <c r="AA7" s="4">
        <f>102.78-2.78*8</f>
        <v>80.540000000000006</v>
      </c>
      <c r="AB7" s="1">
        <v>10</v>
      </c>
      <c r="AC7" s="11">
        <f>+(0.0333*37)*13+37</f>
        <v>53.017300000000006</v>
      </c>
      <c r="AD7" s="4">
        <f>102.78-2.78*13</f>
        <v>66.64</v>
      </c>
      <c r="AE7" s="1">
        <v>20</v>
      </c>
      <c r="AF7" s="4">
        <f>102.78-2.78*9</f>
        <v>77.760000000000005</v>
      </c>
      <c r="AG7" s="1">
        <v>5</v>
      </c>
      <c r="AH7" s="4">
        <f>102.78-2.78*11</f>
        <v>72.2</v>
      </c>
      <c r="AI7" s="1">
        <v>5</v>
      </c>
      <c r="AJ7" s="4">
        <f>102.78-2.78*8</f>
        <v>80.540000000000006</v>
      </c>
      <c r="AK7" s="1">
        <v>10</v>
      </c>
      <c r="AL7" s="11">
        <f>+(0.0333*37)*9+37</f>
        <v>48.088900000000002</v>
      </c>
      <c r="AM7" s="4">
        <f>102.78-2.78*9</f>
        <v>77.760000000000005</v>
      </c>
      <c r="AN7" s="1">
        <v>20</v>
      </c>
      <c r="AO7" s="4">
        <f>102.78-2.78*9</f>
        <v>77.760000000000005</v>
      </c>
      <c r="AP7" s="1">
        <v>5</v>
      </c>
      <c r="AQ7" s="4">
        <f>102.78-2.78*9</f>
        <v>77.760000000000005</v>
      </c>
      <c r="AR7" s="1"/>
      <c r="AS7" s="4">
        <f>102.78-2.78*9</f>
        <v>77.760000000000005</v>
      </c>
      <c r="AT7" s="1">
        <v>10</v>
      </c>
      <c r="AU7" s="11">
        <f>+(0.0333*27)*11+27</f>
        <v>36.890100000000004</v>
      </c>
      <c r="AV7" s="4">
        <f>102.78-2.78*11</f>
        <v>72.2</v>
      </c>
      <c r="AW7" s="1">
        <v>20</v>
      </c>
      <c r="AX7" s="4">
        <f>102.78-2.78*8</f>
        <v>80.540000000000006</v>
      </c>
      <c r="AY7" s="1">
        <v>5</v>
      </c>
      <c r="AZ7" s="4">
        <f>102.78-2.78*8</f>
        <v>80.540000000000006</v>
      </c>
      <c r="BA7" s="1"/>
      <c r="BB7" s="4">
        <f>102.78-2.78*9</f>
        <v>77.760000000000005</v>
      </c>
      <c r="BC7" s="1">
        <v>10</v>
      </c>
      <c r="BD7" s="11">
        <f>+(0.0333*47)*11+47</f>
        <v>64.216099999999997</v>
      </c>
      <c r="BE7" s="4">
        <f>102.78-2.78*11</f>
        <v>72.2</v>
      </c>
      <c r="BF7" s="1">
        <v>40</v>
      </c>
      <c r="BG7" s="4">
        <f>102.78-2.78*9</f>
        <v>77.760000000000005</v>
      </c>
      <c r="BH7" s="1">
        <v>5</v>
      </c>
      <c r="BI7" s="4">
        <f>102.78-2.78*9</f>
        <v>77.760000000000005</v>
      </c>
      <c r="BJ7" s="1">
        <v>5</v>
      </c>
      <c r="BK7" s="4">
        <f>102.78-2.78*11</f>
        <v>72.2</v>
      </c>
      <c r="BL7" s="1">
        <v>10</v>
      </c>
      <c r="BM7" s="11"/>
      <c r="BN7" s="4"/>
      <c r="BO7" s="1"/>
      <c r="BP7" s="4"/>
      <c r="BQ7" s="1"/>
      <c r="BR7" s="4"/>
      <c r="BS7" s="1"/>
      <c r="BT7" s="4"/>
      <c r="BU7" s="1"/>
      <c r="BV7" s="11"/>
      <c r="BW7" s="4"/>
      <c r="BX7" s="1"/>
      <c r="BY7" s="4"/>
      <c r="BZ7" s="1"/>
      <c r="CA7" s="4"/>
      <c r="CB7" s="1"/>
      <c r="CC7" s="4"/>
      <c r="CD7" s="1"/>
      <c r="CE7" s="11">
        <f>+(0.0333*57)*9+57</f>
        <v>74.082899999999995</v>
      </c>
      <c r="CF7" s="4">
        <f t="shared" si="4"/>
        <v>77.760000000000005</v>
      </c>
      <c r="CG7" s="1">
        <v>50</v>
      </c>
      <c r="CH7" s="4">
        <f>102.78-2.78*9</f>
        <v>77.760000000000005</v>
      </c>
      <c r="CI7" s="1">
        <v>10</v>
      </c>
      <c r="CJ7" s="4">
        <f>102.78-2.78*10</f>
        <v>74.98</v>
      </c>
      <c r="CK7" s="1">
        <v>7.5</v>
      </c>
      <c r="CL7" s="4">
        <f>102.78-2.78*10</f>
        <v>74.98</v>
      </c>
      <c r="CM7" s="1"/>
      <c r="CN7" s="11">
        <f>+(0.0333*57)*9+57</f>
        <v>74.082899999999995</v>
      </c>
      <c r="CO7" s="4">
        <f t="shared" si="10"/>
        <v>77.760000000000005</v>
      </c>
      <c r="CP7" s="1">
        <v>50</v>
      </c>
      <c r="CQ7" s="4">
        <f>102.78-2.78*9</f>
        <v>77.760000000000005</v>
      </c>
      <c r="CR7" s="1">
        <v>10</v>
      </c>
      <c r="CS7" s="4">
        <f>102.78-2.78*8</f>
        <v>80.540000000000006</v>
      </c>
      <c r="CT7" s="1">
        <v>7.5</v>
      </c>
      <c r="CU7" s="4">
        <f>102.78-2.78*10</f>
        <v>74.98</v>
      </c>
      <c r="CV7" s="1"/>
      <c r="CW7" s="11">
        <f>+(0.0333*57)*9+57</f>
        <v>74.082899999999995</v>
      </c>
      <c r="CX7" s="4">
        <f t="shared" ref="CX7" si="12">102.78-2.78*9</f>
        <v>77.760000000000005</v>
      </c>
      <c r="CY7" s="1">
        <v>50</v>
      </c>
      <c r="CZ7" s="4">
        <f>102.78-2.78*9</f>
        <v>77.760000000000005</v>
      </c>
      <c r="DA7" s="1">
        <v>10</v>
      </c>
      <c r="DB7" s="4">
        <f>102.78-2.78*9</f>
        <v>77.760000000000005</v>
      </c>
      <c r="DC7" s="1">
        <v>7.5</v>
      </c>
      <c r="DD7" s="4">
        <f>102.78-2.78*9</f>
        <v>77.760000000000005</v>
      </c>
      <c r="DE7" s="1"/>
      <c r="DF7" s="11">
        <f>+(0.0333*67)*8+67</f>
        <v>84.848799999999997</v>
      </c>
      <c r="DG7" s="4">
        <f>102.78-2.78*8</f>
        <v>80.540000000000006</v>
      </c>
      <c r="DH7" s="1">
        <v>60</v>
      </c>
      <c r="DI7" s="4">
        <f>102.78-2.78*9</f>
        <v>77.760000000000005</v>
      </c>
      <c r="DJ7" s="1">
        <v>10</v>
      </c>
      <c r="DK7" s="4">
        <f>102.78-2.78*9</f>
        <v>77.760000000000005</v>
      </c>
      <c r="DL7" s="1">
        <v>10</v>
      </c>
      <c r="DM7" s="4">
        <f>102.78-2.78*9</f>
        <v>77.760000000000005</v>
      </c>
      <c r="DN7" s="1">
        <v>20</v>
      </c>
      <c r="DO7" s="11">
        <f>+(0.0333*67)*7+67</f>
        <v>82.617699999999999</v>
      </c>
      <c r="DP7" s="4">
        <f>102.78-2.78*7</f>
        <v>83.320000000000007</v>
      </c>
      <c r="DQ7" s="1">
        <v>60</v>
      </c>
      <c r="DR7" s="4">
        <f>102.78-2.78*8</f>
        <v>80.540000000000006</v>
      </c>
      <c r="DS7" s="1">
        <v>10</v>
      </c>
      <c r="DT7" s="4">
        <f>102.78-2.78*8</f>
        <v>80.540000000000006</v>
      </c>
      <c r="DU7" s="1">
        <v>10</v>
      </c>
      <c r="DV7" s="4">
        <f>102.78-2.78*7</f>
        <v>83.320000000000007</v>
      </c>
      <c r="DW7" s="1">
        <v>20</v>
      </c>
      <c r="DX7" s="11">
        <f>+(0.0333*67)*9+67</f>
        <v>87.079900000000009</v>
      </c>
      <c r="DY7" s="4">
        <f>102.78-2.78*9</f>
        <v>77.760000000000005</v>
      </c>
      <c r="DZ7" s="1">
        <v>60</v>
      </c>
      <c r="EA7" s="4">
        <f>102.78-2.78*9</f>
        <v>77.760000000000005</v>
      </c>
      <c r="EB7" s="1">
        <v>10</v>
      </c>
      <c r="EC7" s="4">
        <f>102.78-2.78*9</f>
        <v>77.760000000000005</v>
      </c>
      <c r="ED7" s="1">
        <v>10</v>
      </c>
      <c r="EE7" s="4">
        <f>102.78-2.78*8</f>
        <v>80.540000000000006</v>
      </c>
      <c r="EF7" s="1">
        <v>20</v>
      </c>
      <c r="EG7" s="11">
        <f>+(0.0333*67)*9+67</f>
        <v>87.079900000000009</v>
      </c>
      <c r="EH7" s="4">
        <f>102.78-2.78*9</f>
        <v>77.760000000000005</v>
      </c>
      <c r="EI7" s="1">
        <v>60</v>
      </c>
      <c r="EJ7" s="4">
        <f>102.78-2.78*9</f>
        <v>77.760000000000005</v>
      </c>
      <c r="EK7" s="1">
        <v>10</v>
      </c>
      <c r="EL7" s="4">
        <f>102.78-2.78*9</f>
        <v>77.760000000000005</v>
      </c>
      <c r="EM7" s="1">
        <v>10</v>
      </c>
      <c r="EN7" s="4">
        <f>102.78-2.78*9</f>
        <v>77.760000000000005</v>
      </c>
      <c r="EO7" s="1">
        <v>20</v>
      </c>
      <c r="EP7" s="11">
        <f>+(0.0333*67)*9+67</f>
        <v>87.079900000000009</v>
      </c>
      <c r="EQ7" s="11" t="s">
        <v>76</v>
      </c>
      <c r="ER7" s="4">
        <v>85</v>
      </c>
      <c r="ES7" s="1">
        <v>54.13337225178492</v>
      </c>
    </row>
    <row r="8" spans="1:149" hidden="1" x14ac:dyDescent="0.3">
      <c r="A8" s="10" t="s">
        <v>51</v>
      </c>
      <c r="B8" s="11">
        <f>+(0.0333*47)*7+47</f>
        <v>57.9557</v>
      </c>
      <c r="C8" s="4">
        <f>102.78-2.78*7</f>
        <v>83.320000000000007</v>
      </c>
      <c r="D8" s="1">
        <v>40</v>
      </c>
      <c r="E8" s="4">
        <f>102.78-2.78*8</f>
        <v>80.540000000000006</v>
      </c>
      <c r="F8" s="1">
        <v>5</v>
      </c>
      <c r="G8" s="4">
        <f>102.78-2.78*13</f>
        <v>66.64</v>
      </c>
      <c r="H8" s="1">
        <v>5</v>
      </c>
      <c r="I8" s="4">
        <f>102.78-2.78*7</f>
        <v>83.320000000000007</v>
      </c>
      <c r="J8" s="1">
        <v>10</v>
      </c>
      <c r="K8" s="11">
        <f>+(0.0333*47)*8+47</f>
        <v>59.520800000000001</v>
      </c>
      <c r="L8" s="4">
        <f>102.78-2.78*8</f>
        <v>80.540000000000006</v>
      </c>
      <c r="M8" s="1">
        <v>40</v>
      </c>
      <c r="N8" s="4">
        <f>102.78-2.78*9</f>
        <v>77.760000000000005</v>
      </c>
      <c r="O8" s="1">
        <v>5</v>
      </c>
      <c r="P8" s="4">
        <f>102.78-2.78*12</f>
        <v>69.42</v>
      </c>
      <c r="Q8" s="1">
        <v>5</v>
      </c>
      <c r="R8" s="4">
        <f>102.78-2.78*8</f>
        <v>80.540000000000006</v>
      </c>
      <c r="S8" s="1">
        <v>10</v>
      </c>
      <c r="T8" s="11">
        <f>+(0.0333*47)*8+47</f>
        <v>59.520800000000001</v>
      </c>
      <c r="U8" s="4">
        <f>102.78-2.78*8</f>
        <v>80.540000000000006</v>
      </c>
      <c r="V8" s="1">
        <v>40</v>
      </c>
      <c r="W8" s="4">
        <f>102.78-2.78*8</f>
        <v>80.540000000000006</v>
      </c>
      <c r="X8" s="1">
        <v>5</v>
      </c>
      <c r="Y8" s="4">
        <f>102.78-2.78*8</f>
        <v>80.540000000000006</v>
      </c>
      <c r="Z8" s="1">
        <v>5</v>
      </c>
      <c r="AA8" s="4">
        <f>102.78-2.78*8</f>
        <v>80.540000000000006</v>
      </c>
      <c r="AB8" s="1">
        <v>10</v>
      </c>
      <c r="AC8" s="11">
        <f>+(0.0333*47)*8+47</f>
        <v>59.520800000000001</v>
      </c>
      <c r="AD8" s="4">
        <f>102.78-2.78*8</f>
        <v>80.540000000000006</v>
      </c>
      <c r="AE8" s="1">
        <v>40</v>
      </c>
      <c r="AF8" s="4">
        <f>102.78-2.78*9</f>
        <v>77.760000000000005</v>
      </c>
      <c r="AG8" s="1">
        <v>5</v>
      </c>
      <c r="AH8" s="4">
        <f>102.78-2.78*8</f>
        <v>80.540000000000006</v>
      </c>
      <c r="AI8" s="1">
        <v>5</v>
      </c>
      <c r="AJ8" s="4">
        <f>102.78-2.78*8</f>
        <v>80.540000000000006</v>
      </c>
      <c r="AK8" s="1">
        <v>10</v>
      </c>
      <c r="AL8" s="11">
        <f>+(0.0333*47)*8+47</f>
        <v>59.520800000000001</v>
      </c>
      <c r="AM8" s="4">
        <f>102.78-2.78*8</f>
        <v>80.540000000000006</v>
      </c>
      <c r="AN8" s="1">
        <v>40</v>
      </c>
      <c r="AO8" s="4">
        <f>102.78-2.78*9</f>
        <v>77.760000000000005</v>
      </c>
      <c r="AP8" s="1">
        <v>5</v>
      </c>
      <c r="AQ8" s="4">
        <f>102.78-2.78*9</f>
        <v>77.760000000000005</v>
      </c>
      <c r="AR8" s="1">
        <v>5</v>
      </c>
      <c r="AS8" s="4">
        <f>102.78-2.78*7</f>
        <v>83.320000000000007</v>
      </c>
      <c r="AT8" s="1">
        <v>10</v>
      </c>
      <c r="AU8" s="11"/>
      <c r="AV8" s="4"/>
      <c r="AW8" s="1"/>
      <c r="AX8" s="4"/>
      <c r="AY8" s="1"/>
      <c r="AZ8" s="4"/>
      <c r="BA8" s="1"/>
      <c r="BB8" s="4"/>
      <c r="BC8" s="1"/>
      <c r="BD8" s="11">
        <f>+(0.0333*47)*8+47</f>
        <v>59.520800000000001</v>
      </c>
      <c r="BE8" s="4">
        <f>102.78-2.78*8</f>
        <v>80.540000000000006</v>
      </c>
      <c r="BF8" s="1">
        <v>40</v>
      </c>
      <c r="BG8" s="4">
        <f>102.78-2.78*12</f>
        <v>69.42</v>
      </c>
      <c r="BH8" s="1"/>
      <c r="BI8" s="4">
        <f>102.78-2.78*12</f>
        <v>69.42</v>
      </c>
      <c r="BJ8" s="1">
        <v>5</v>
      </c>
      <c r="BK8" s="4">
        <f>102.78-2.78*8</f>
        <v>80.540000000000006</v>
      </c>
      <c r="BL8" s="1"/>
      <c r="BM8" s="11"/>
      <c r="BN8" s="4"/>
      <c r="BO8" s="1"/>
      <c r="BP8" s="4"/>
      <c r="BQ8" s="1"/>
      <c r="BR8" s="4"/>
      <c r="BS8" s="1"/>
      <c r="BT8" s="4"/>
      <c r="BU8" s="1"/>
      <c r="BV8" s="11"/>
      <c r="BW8" s="4"/>
      <c r="BX8" s="1"/>
      <c r="BY8" s="4"/>
      <c r="BZ8" s="1"/>
      <c r="CA8" s="4"/>
      <c r="CB8" s="1"/>
      <c r="CC8" s="4"/>
      <c r="CD8" s="1"/>
      <c r="CE8" s="11"/>
      <c r="CF8" s="4"/>
      <c r="CG8" s="1"/>
      <c r="CH8" s="4"/>
      <c r="CI8" s="1"/>
      <c r="CJ8" s="4"/>
      <c r="CK8" s="1"/>
      <c r="CL8" s="4"/>
      <c r="CM8" s="1"/>
      <c r="CN8" s="11"/>
      <c r="CO8" s="4"/>
      <c r="CP8" s="1"/>
      <c r="CQ8" s="4"/>
      <c r="CR8" s="1"/>
      <c r="CS8" s="4"/>
      <c r="CT8" s="1"/>
      <c r="CU8" s="4"/>
      <c r="CV8" s="1"/>
      <c r="CW8" s="11"/>
      <c r="CX8" s="4"/>
      <c r="CY8" s="1"/>
      <c r="CZ8" s="4"/>
      <c r="DA8" s="1"/>
      <c r="DB8" s="4"/>
      <c r="DC8" s="1"/>
      <c r="DD8" s="4"/>
      <c r="DE8" s="1"/>
      <c r="DF8" s="11"/>
      <c r="DG8" s="4"/>
      <c r="DH8" s="1"/>
      <c r="DI8" s="4"/>
      <c r="DJ8" s="1"/>
      <c r="DK8" s="4">
        <f t="shared" ref="DK8" si="13">102.78-2.78*9</f>
        <v>77.760000000000005</v>
      </c>
      <c r="DL8" s="1"/>
      <c r="DM8" s="4">
        <f t="shared" ref="DM8:DM9" si="14">102.78-2.78*9</f>
        <v>77.760000000000005</v>
      </c>
      <c r="DN8" s="1"/>
      <c r="DO8" s="11"/>
      <c r="DP8" s="4"/>
      <c r="DQ8" s="1"/>
      <c r="DR8" s="4"/>
      <c r="DS8" s="1"/>
      <c r="DT8" s="4">
        <f t="shared" ref="DT8" si="15">102.78-2.78*9</f>
        <v>77.760000000000005</v>
      </c>
      <c r="DU8" s="1"/>
      <c r="DV8" s="4">
        <f t="shared" ref="DV8" si="16">102.78-2.78*9</f>
        <v>77.760000000000005</v>
      </c>
      <c r="DW8" s="1"/>
      <c r="DX8" s="11"/>
      <c r="DY8" s="4"/>
      <c r="DZ8" s="1"/>
      <c r="EA8" s="4"/>
      <c r="EB8" s="1"/>
      <c r="EC8" s="4">
        <f t="shared" ref="EC8" si="17">102.78-2.78*9</f>
        <v>77.760000000000005</v>
      </c>
      <c r="ED8" s="1"/>
      <c r="EE8" s="4">
        <f t="shared" ref="EE8" si="18">102.78-2.78*9</f>
        <v>77.760000000000005</v>
      </c>
      <c r="EF8" s="1"/>
      <c r="EG8" s="11"/>
      <c r="EH8" s="4"/>
      <c r="EI8" s="1"/>
      <c r="EJ8" s="4"/>
      <c r="EK8" s="1"/>
      <c r="EL8" s="4">
        <f t="shared" ref="EL8" si="19">102.78-2.78*9</f>
        <v>77.760000000000005</v>
      </c>
      <c r="EM8" s="1"/>
      <c r="EN8" s="4">
        <f t="shared" ref="EN8" si="20">102.78-2.78*9</f>
        <v>77.760000000000005</v>
      </c>
      <c r="EO8" s="1"/>
      <c r="EP8" s="11"/>
      <c r="EQ8" s="11" t="s">
        <v>76</v>
      </c>
      <c r="ER8" s="4"/>
      <c r="ES8" s="1">
        <v>51.069611948526017</v>
      </c>
    </row>
    <row r="9" spans="1:149" x14ac:dyDescent="0.3">
      <c r="A9" s="10" t="s">
        <v>52</v>
      </c>
      <c r="B9" s="11">
        <f>+(0.0333*27)*8+27</f>
        <v>34.192799999999998</v>
      </c>
      <c r="C9" s="4">
        <f>102.78-2.78*8</f>
        <v>80.540000000000006</v>
      </c>
      <c r="D9" s="1">
        <v>40</v>
      </c>
      <c r="E9" s="4">
        <f>102.78-2.78*8</f>
        <v>80.540000000000006</v>
      </c>
      <c r="F9" s="1">
        <v>5</v>
      </c>
      <c r="G9" s="4">
        <f>102.78-2.78*10</f>
        <v>74.98</v>
      </c>
      <c r="H9" s="1">
        <v>0</v>
      </c>
      <c r="I9" s="4">
        <f>102.78-2.78*8</f>
        <v>80.540000000000006</v>
      </c>
      <c r="J9" s="1">
        <v>10</v>
      </c>
      <c r="K9" s="11">
        <f>+(0.0333*27)*9+27</f>
        <v>35.091900000000003</v>
      </c>
      <c r="L9" s="4">
        <f>102.78-2.78*9</f>
        <v>77.760000000000005</v>
      </c>
      <c r="M9" s="1">
        <v>40</v>
      </c>
      <c r="N9" s="4">
        <f>102.78-2.78*7</f>
        <v>83.320000000000007</v>
      </c>
      <c r="O9" s="1">
        <v>5</v>
      </c>
      <c r="P9" s="4">
        <f>102.78-2.78*8</f>
        <v>80.540000000000006</v>
      </c>
      <c r="Q9" s="1">
        <v>0</v>
      </c>
      <c r="R9" s="4">
        <f>102.78-2.78*9</f>
        <v>77.760000000000005</v>
      </c>
      <c r="S9" s="1">
        <v>10</v>
      </c>
      <c r="T9" s="11">
        <f>+(0.0333*27)*8+37</f>
        <v>44.192799999999998</v>
      </c>
      <c r="U9" s="4">
        <f>102.78-2.78*8</f>
        <v>80.540000000000006</v>
      </c>
      <c r="V9" s="1">
        <v>30</v>
      </c>
      <c r="W9" s="4">
        <f>102.78-2.78*8</f>
        <v>80.540000000000006</v>
      </c>
      <c r="X9" s="1">
        <v>5</v>
      </c>
      <c r="Y9" s="4">
        <f>102.78-2.78*9</f>
        <v>77.760000000000005</v>
      </c>
      <c r="Z9" s="1">
        <v>0</v>
      </c>
      <c r="AA9" s="4">
        <f>102.78-2.78*8</f>
        <v>80.540000000000006</v>
      </c>
      <c r="AB9" s="1">
        <v>10</v>
      </c>
      <c r="AC9" s="11"/>
      <c r="AD9" s="4"/>
      <c r="AE9" s="1"/>
      <c r="AF9" s="4"/>
      <c r="AG9" s="1"/>
      <c r="AH9" s="4"/>
      <c r="AI9" s="1"/>
      <c r="AJ9" s="4"/>
      <c r="AK9" s="1"/>
      <c r="AL9" s="11">
        <f>+(0.0333*37)*8+37</f>
        <v>46.8568</v>
      </c>
      <c r="AM9" s="4">
        <f>102.78-2.78*8</f>
        <v>80.540000000000006</v>
      </c>
      <c r="AN9" s="1">
        <v>20</v>
      </c>
      <c r="AO9" s="4"/>
      <c r="AP9" s="1"/>
      <c r="AQ9" s="4"/>
      <c r="AR9" s="1"/>
      <c r="AS9" s="4"/>
      <c r="AT9" s="1"/>
      <c r="AU9" s="11"/>
      <c r="AV9" s="4"/>
      <c r="AW9" s="1"/>
      <c r="AX9" s="4"/>
      <c r="AY9" s="1"/>
      <c r="AZ9" s="4"/>
      <c r="BA9" s="1"/>
      <c r="BB9" s="4"/>
      <c r="BC9" s="1"/>
      <c r="BD9" s="11"/>
      <c r="BE9" s="4"/>
      <c r="BF9" s="1"/>
      <c r="BG9" s="4"/>
      <c r="BH9" s="1"/>
      <c r="BI9" s="4"/>
      <c r="BJ9" s="1"/>
      <c r="BK9" s="4"/>
      <c r="BL9" s="1"/>
      <c r="BM9" s="11"/>
      <c r="BN9" s="4"/>
      <c r="BO9" s="1"/>
      <c r="BP9" s="4"/>
      <c r="BQ9" s="1"/>
      <c r="BR9" s="4"/>
      <c r="BS9" s="1"/>
      <c r="BT9" s="4"/>
      <c r="BU9" s="1"/>
      <c r="BV9" s="11"/>
      <c r="BW9" s="4"/>
      <c r="BX9" s="1"/>
      <c r="BY9" s="4"/>
      <c r="BZ9" s="1"/>
      <c r="CA9" s="4"/>
      <c r="CB9" s="1"/>
      <c r="CC9" s="4"/>
      <c r="CD9" s="1"/>
      <c r="CE9" s="11"/>
      <c r="CF9" s="4"/>
      <c r="CG9" s="1"/>
      <c r="CH9" s="4"/>
      <c r="CI9" s="1"/>
      <c r="CJ9" s="4"/>
      <c r="CK9" s="1"/>
      <c r="CL9" s="4"/>
      <c r="CM9" s="1"/>
      <c r="CN9" s="11"/>
      <c r="CO9" s="4"/>
      <c r="CP9" s="1"/>
      <c r="CQ9" s="4"/>
      <c r="CR9" s="1"/>
      <c r="CS9" s="4"/>
      <c r="CT9" s="1"/>
      <c r="CU9" s="4"/>
      <c r="CV9" s="1"/>
      <c r="CW9" s="11"/>
      <c r="CX9" s="4"/>
      <c r="CY9" s="1"/>
      <c r="CZ9" s="4"/>
      <c r="DA9" s="1"/>
      <c r="DB9" s="4"/>
      <c r="DC9" s="1"/>
      <c r="DD9" s="4"/>
      <c r="DE9" s="1"/>
      <c r="DF9" s="11">
        <f>+(0.0333*57)*9+57</f>
        <v>74.082899999999995</v>
      </c>
      <c r="DG9" s="4">
        <f>102.78-2.78*9</f>
        <v>77.760000000000005</v>
      </c>
      <c r="DH9" s="1">
        <v>50</v>
      </c>
      <c r="DI9" s="4">
        <f>102.78-2.78*9</f>
        <v>77.760000000000005</v>
      </c>
      <c r="DJ9" s="1">
        <v>5</v>
      </c>
      <c r="DK9" s="4">
        <f>102.78-2.78*8</f>
        <v>80.540000000000006</v>
      </c>
      <c r="DL9" s="1">
        <v>7.5</v>
      </c>
      <c r="DM9" s="4">
        <f t="shared" si="14"/>
        <v>77.760000000000005</v>
      </c>
      <c r="DN9" s="1">
        <v>20</v>
      </c>
      <c r="DO9" s="11"/>
      <c r="DP9" s="4"/>
      <c r="DQ9" s="1"/>
      <c r="DR9" s="4"/>
      <c r="DS9" s="1"/>
      <c r="DT9" s="4"/>
      <c r="DU9" s="1"/>
      <c r="DV9" s="4"/>
      <c r="DW9" s="1"/>
      <c r="DX9" s="11"/>
      <c r="DY9" s="4"/>
      <c r="DZ9" s="1"/>
      <c r="EA9" s="4"/>
      <c r="EB9" s="1"/>
      <c r="EC9" s="4"/>
      <c r="ED9" s="1"/>
      <c r="EE9" s="4"/>
      <c r="EF9" s="1"/>
      <c r="EG9" s="11"/>
      <c r="EH9" s="4"/>
      <c r="EI9" s="1"/>
      <c r="EJ9" s="4"/>
      <c r="EK9" s="1"/>
      <c r="EL9" s="4">
        <f>102.78-2.78*8</f>
        <v>80.540000000000006</v>
      </c>
      <c r="EM9" s="1"/>
      <c r="EN9" s="4"/>
      <c r="EO9" s="1"/>
      <c r="EP9" s="11"/>
      <c r="EQ9" s="11" t="s">
        <v>76</v>
      </c>
      <c r="ER9" s="4">
        <v>80.540000000000006</v>
      </c>
      <c r="ES9" s="6">
        <v>53.133079800259182</v>
      </c>
    </row>
    <row r="10" spans="1:149" x14ac:dyDescent="0.3">
      <c r="A10" s="10" t="s">
        <v>53</v>
      </c>
      <c r="B10" s="11">
        <f>+(0.0333*27)*7+27</f>
        <v>33.293700000000001</v>
      </c>
      <c r="C10" s="4">
        <f>102.78-2.78*7</f>
        <v>83.320000000000007</v>
      </c>
      <c r="D10" s="1">
        <v>20</v>
      </c>
      <c r="E10" s="4">
        <f>102.78-2.78*7</f>
        <v>83.320000000000007</v>
      </c>
      <c r="F10" s="1">
        <v>5</v>
      </c>
      <c r="G10" s="4">
        <f>102.78-2.78*8</f>
        <v>80.540000000000006</v>
      </c>
      <c r="H10" s="1">
        <v>0</v>
      </c>
      <c r="I10" s="4">
        <f>102.78-2.78*8</f>
        <v>80.540000000000006</v>
      </c>
      <c r="J10" s="1">
        <v>10</v>
      </c>
      <c r="K10" s="11">
        <f>+(0.0333*27)*8+27</f>
        <v>34.192799999999998</v>
      </c>
      <c r="L10" s="4">
        <f>102.78-2.78*8</f>
        <v>80.540000000000006</v>
      </c>
      <c r="M10" s="1">
        <v>20</v>
      </c>
      <c r="N10" s="4">
        <f>102.78-2.78*6</f>
        <v>86.1</v>
      </c>
      <c r="O10" s="1">
        <v>5</v>
      </c>
      <c r="P10" s="4">
        <f>102.78-2.78*7</f>
        <v>83.320000000000007</v>
      </c>
      <c r="Q10" s="1">
        <v>0</v>
      </c>
      <c r="R10" s="4">
        <f>102.78-2.78*7</f>
        <v>83.320000000000007</v>
      </c>
      <c r="S10" s="1">
        <v>10</v>
      </c>
      <c r="T10" s="11">
        <f>+(0.0333*27)*7+37</f>
        <v>43.293700000000001</v>
      </c>
      <c r="U10" s="4">
        <f>102.78-2.78*7</f>
        <v>83.320000000000007</v>
      </c>
      <c r="V10" s="1">
        <v>30</v>
      </c>
      <c r="W10" s="4">
        <f>102.78-2.78*7</f>
        <v>83.320000000000007</v>
      </c>
      <c r="X10" s="1">
        <v>5</v>
      </c>
      <c r="Y10" s="4">
        <f>102.78-2.78*8</f>
        <v>80.540000000000006</v>
      </c>
      <c r="Z10" s="1">
        <v>0</v>
      </c>
      <c r="AA10" s="4">
        <f>102.78-2.78*8</f>
        <v>80.540000000000006</v>
      </c>
      <c r="AB10" s="1">
        <v>10</v>
      </c>
      <c r="AC10" s="11">
        <f>+(0.0333*37)*9+37</f>
        <v>48.088900000000002</v>
      </c>
      <c r="AD10" s="4">
        <f>102.78-2.78*9</f>
        <v>77.760000000000005</v>
      </c>
      <c r="AE10" s="1">
        <v>30</v>
      </c>
      <c r="AF10" s="4">
        <f>102.78-2.78*8</f>
        <v>80.540000000000006</v>
      </c>
      <c r="AG10" s="1">
        <v>5</v>
      </c>
      <c r="AH10" s="4">
        <f>102.78-2.78*10</f>
        <v>74.98</v>
      </c>
      <c r="AI10" s="1">
        <v>0</v>
      </c>
      <c r="AJ10" s="4">
        <f>102.78-2.78*8</f>
        <v>80.540000000000006</v>
      </c>
      <c r="AK10" s="1">
        <v>10</v>
      </c>
      <c r="AL10" s="11">
        <f>+(0.0333*37)*8+37</f>
        <v>46.8568</v>
      </c>
      <c r="AM10" s="4">
        <f>102.78-2.78*8</f>
        <v>80.540000000000006</v>
      </c>
      <c r="AN10" s="1">
        <v>20</v>
      </c>
      <c r="AO10" s="4">
        <f>102.78-2.78*8</f>
        <v>80.540000000000006</v>
      </c>
      <c r="AP10" s="1">
        <v>5</v>
      </c>
      <c r="AQ10" s="4">
        <f>102.78-2.78*8</f>
        <v>80.540000000000006</v>
      </c>
      <c r="AR10" s="1">
        <v>0</v>
      </c>
      <c r="AS10" s="4">
        <f>102.78-2.78*9</f>
        <v>77.760000000000005</v>
      </c>
      <c r="AT10" s="1">
        <v>10</v>
      </c>
      <c r="AU10" s="11">
        <f>+(0.0333*27)*8+27</f>
        <v>34.192799999999998</v>
      </c>
      <c r="AV10" s="4">
        <f>102.78-2.78*8</f>
        <v>80.540000000000006</v>
      </c>
      <c r="AW10" s="1">
        <v>20</v>
      </c>
      <c r="AX10" s="4">
        <f>102.78-2.78*8</f>
        <v>80.540000000000006</v>
      </c>
      <c r="AY10" s="1">
        <v>5</v>
      </c>
      <c r="AZ10" s="4">
        <f>102.78-2.78*8</f>
        <v>80.540000000000006</v>
      </c>
      <c r="BA10" s="1">
        <v>0</v>
      </c>
      <c r="BB10" s="4">
        <f>102.78-2.78*7</f>
        <v>83.320000000000007</v>
      </c>
      <c r="BC10" s="1">
        <v>10</v>
      </c>
      <c r="BD10" s="11">
        <f>+(0.0333*27)*8+27</f>
        <v>34.192799999999998</v>
      </c>
      <c r="BE10" s="4">
        <f>102.78-2.78*8</f>
        <v>80.540000000000006</v>
      </c>
      <c r="BF10" s="1">
        <v>20</v>
      </c>
      <c r="BG10" s="4">
        <f>102.78-2.78*7</f>
        <v>83.320000000000007</v>
      </c>
      <c r="BH10" s="1">
        <v>5</v>
      </c>
      <c r="BI10" s="4">
        <f>102.78-2.78*7</f>
        <v>83.320000000000007</v>
      </c>
      <c r="BJ10" s="1">
        <v>0</v>
      </c>
      <c r="BK10" s="4">
        <f>102.78-2.78*7</f>
        <v>83.320000000000007</v>
      </c>
      <c r="BL10" s="1">
        <v>10</v>
      </c>
      <c r="BM10" s="11">
        <f>+(0.0333*27)*9+27</f>
        <v>35.091900000000003</v>
      </c>
      <c r="BN10" s="4">
        <f>102.78-2.78*9</f>
        <v>77.760000000000005</v>
      </c>
      <c r="BO10" s="1">
        <v>20</v>
      </c>
      <c r="BP10" s="4">
        <f>102.78-2.78*9</f>
        <v>77.760000000000005</v>
      </c>
      <c r="BQ10" s="1">
        <v>5</v>
      </c>
      <c r="BR10" s="4">
        <f>102.78-2.78*9</f>
        <v>77.760000000000005</v>
      </c>
      <c r="BS10" s="1">
        <v>0</v>
      </c>
      <c r="BT10" s="4">
        <f>102.78-2.78*8</f>
        <v>80.540000000000006</v>
      </c>
      <c r="BU10" s="1">
        <v>10</v>
      </c>
      <c r="BV10" s="11">
        <f>+(0.0333*47)*8+47</f>
        <v>59.520800000000001</v>
      </c>
      <c r="BW10" s="4">
        <f>102.78-2.78*8</f>
        <v>80.540000000000006</v>
      </c>
      <c r="BX10" s="1">
        <v>40</v>
      </c>
      <c r="BY10" s="4">
        <f>102.78-2.78*8</f>
        <v>80.540000000000006</v>
      </c>
      <c r="BZ10" s="1">
        <v>5</v>
      </c>
      <c r="CA10" s="4">
        <f>102.78-2.78*8</f>
        <v>80.540000000000006</v>
      </c>
      <c r="CB10" s="1">
        <v>5</v>
      </c>
      <c r="CC10" s="4">
        <f>102.78-2.78*7</f>
        <v>83.320000000000007</v>
      </c>
      <c r="CD10" s="1">
        <v>10</v>
      </c>
      <c r="CE10" s="11">
        <f>+(0.0333*47)*8+47</f>
        <v>59.520800000000001</v>
      </c>
      <c r="CF10" s="4">
        <f>102.78-2.78*8</f>
        <v>80.540000000000006</v>
      </c>
      <c r="CG10" s="1">
        <v>40</v>
      </c>
      <c r="CH10" s="4"/>
      <c r="CI10" s="1"/>
      <c r="CJ10" s="4"/>
      <c r="CK10" s="1"/>
      <c r="CL10" s="4"/>
      <c r="CM10" s="1">
        <v>10</v>
      </c>
      <c r="CN10" s="11">
        <f>+(0.0333*47)*9+47</f>
        <v>61.085900000000002</v>
      </c>
      <c r="CO10" s="4">
        <f>102.78-2.78*9</f>
        <v>77.760000000000005</v>
      </c>
      <c r="CP10" s="1">
        <v>40</v>
      </c>
      <c r="CQ10" s="4">
        <f>102.78-2.78*7</f>
        <v>83.320000000000007</v>
      </c>
      <c r="CR10" s="1"/>
      <c r="CS10" s="4">
        <f>102.78-2.78*7</f>
        <v>83.320000000000007</v>
      </c>
      <c r="CT10" s="1">
        <v>5</v>
      </c>
      <c r="CU10" s="4">
        <f>102.78-2.78*7</f>
        <v>83.320000000000007</v>
      </c>
      <c r="CV10" s="1">
        <v>10</v>
      </c>
      <c r="CW10" s="11"/>
      <c r="CX10" s="4"/>
      <c r="CY10" s="1"/>
      <c r="CZ10" s="4"/>
      <c r="DA10" s="1"/>
      <c r="DB10" s="4"/>
      <c r="DC10" s="1"/>
      <c r="DD10" s="4"/>
      <c r="DE10" s="1"/>
      <c r="DF10" s="11">
        <f>+(0.0333*57)*8+57</f>
        <v>72.184799999999996</v>
      </c>
      <c r="DG10" s="4">
        <f>102.78-2.78*8</f>
        <v>80.540000000000006</v>
      </c>
      <c r="DH10" s="1">
        <v>50</v>
      </c>
      <c r="DI10" s="4">
        <f>102.78-2.78*7</f>
        <v>83.320000000000007</v>
      </c>
      <c r="DJ10" s="1">
        <v>5</v>
      </c>
      <c r="DK10" s="4"/>
      <c r="DL10" s="1">
        <v>7.5</v>
      </c>
      <c r="DM10" s="4">
        <f>102.78-2.78*7</f>
        <v>83.320000000000007</v>
      </c>
      <c r="DN10" s="1">
        <v>20</v>
      </c>
      <c r="DO10" s="11">
        <f>+(0.0333*57)*8+57</f>
        <v>72.184799999999996</v>
      </c>
      <c r="DP10" s="4">
        <f>102.78-2.78*8</f>
        <v>80.540000000000006</v>
      </c>
      <c r="DQ10" s="1">
        <v>50</v>
      </c>
      <c r="DR10" s="4">
        <f>102.78-2.78*8</f>
        <v>80.540000000000006</v>
      </c>
      <c r="DS10" s="1">
        <v>5</v>
      </c>
      <c r="DT10" s="4">
        <f>102.78-2.78*8</f>
        <v>80.540000000000006</v>
      </c>
      <c r="DU10" s="1">
        <v>7.5</v>
      </c>
      <c r="DV10" s="4">
        <f>102.78-2.78*7</f>
        <v>83.320000000000007</v>
      </c>
      <c r="DW10" s="1">
        <v>20</v>
      </c>
      <c r="DX10" s="11">
        <f>+(0.0333*57)*8+57</f>
        <v>72.184799999999996</v>
      </c>
      <c r="DY10" s="4">
        <f>102.78-2.78*8</f>
        <v>80.540000000000006</v>
      </c>
      <c r="DZ10" s="1">
        <v>50</v>
      </c>
      <c r="EA10" s="4">
        <f>102.78-2.78*9</f>
        <v>77.760000000000005</v>
      </c>
      <c r="EB10" s="1">
        <v>5</v>
      </c>
      <c r="EC10" s="4">
        <f>102.78-2.78*9</f>
        <v>77.760000000000005</v>
      </c>
      <c r="ED10" s="1">
        <v>7.5</v>
      </c>
      <c r="EE10" s="4">
        <f>102.78-2.78*9</f>
        <v>77.760000000000005</v>
      </c>
      <c r="EF10" s="1">
        <v>20</v>
      </c>
      <c r="EG10" s="11">
        <f>+(0.0333*37)*9+37</f>
        <v>48.088900000000002</v>
      </c>
      <c r="EH10" s="4">
        <f>102.78-2.78*9</f>
        <v>77.760000000000005</v>
      </c>
      <c r="EI10" s="1">
        <v>50</v>
      </c>
      <c r="EJ10" s="4">
        <f>102.78-2.78*11</f>
        <v>72.2</v>
      </c>
      <c r="EK10" s="1">
        <v>5</v>
      </c>
      <c r="EL10" s="4">
        <f>102.78-2.78*11</f>
        <v>72.2</v>
      </c>
      <c r="EM10" s="1">
        <v>7.5</v>
      </c>
      <c r="EN10" s="4">
        <f>102.78-2.78*7</f>
        <v>83.320000000000007</v>
      </c>
      <c r="EO10" s="1">
        <v>20</v>
      </c>
      <c r="EP10" s="11"/>
      <c r="EQ10" s="11" t="s">
        <v>76</v>
      </c>
      <c r="ER10" s="4">
        <v>83.32</v>
      </c>
      <c r="ES10" s="1">
        <v>51</v>
      </c>
    </row>
    <row r="11" spans="1:149" x14ac:dyDescent="0.3">
      <c r="A11" s="10" t="s">
        <v>54</v>
      </c>
      <c r="B11" s="11">
        <f>+(0.0333*27)*8+27</f>
        <v>34.192799999999998</v>
      </c>
      <c r="C11" s="4">
        <f>102.78-2.78*8</f>
        <v>80.540000000000006</v>
      </c>
      <c r="D11" s="1">
        <v>20</v>
      </c>
      <c r="E11" s="4">
        <f>102.78-2.78*8</f>
        <v>80.540000000000006</v>
      </c>
      <c r="F11" s="1">
        <v>5</v>
      </c>
      <c r="G11" s="4">
        <f>102.78-2.78*7</f>
        <v>83.320000000000007</v>
      </c>
      <c r="H11" s="1">
        <v>0</v>
      </c>
      <c r="I11" s="4">
        <f>102.78-2.78*8</f>
        <v>80.540000000000006</v>
      </c>
      <c r="J11" s="1">
        <v>10</v>
      </c>
      <c r="K11" s="11">
        <f>+(0.0333*27)*9+27</f>
        <v>35.091900000000003</v>
      </c>
      <c r="L11" s="4">
        <f>102.78-2.78*9</f>
        <v>77.760000000000005</v>
      </c>
      <c r="M11" s="1">
        <v>20</v>
      </c>
      <c r="N11" s="4">
        <f>102.78-2.78*8</f>
        <v>80.540000000000006</v>
      </c>
      <c r="O11" s="1">
        <v>5</v>
      </c>
      <c r="P11" s="4">
        <f>102.78-2.78*10</f>
        <v>74.98</v>
      </c>
      <c r="Q11" s="1">
        <v>0</v>
      </c>
      <c r="R11" s="4">
        <f>102.78-2.78*9</f>
        <v>77.760000000000005</v>
      </c>
      <c r="S11" s="1">
        <v>10</v>
      </c>
      <c r="T11" s="11">
        <f>+(0.0333*27)*9+37</f>
        <v>45.091900000000003</v>
      </c>
      <c r="U11" s="4">
        <f>102.78-2.78*9</f>
        <v>77.760000000000005</v>
      </c>
      <c r="V11" s="1">
        <v>30</v>
      </c>
      <c r="W11" s="4">
        <f>102.78-2.78*8</f>
        <v>80.540000000000006</v>
      </c>
      <c r="X11" s="1">
        <v>5</v>
      </c>
      <c r="Y11" s="4">
        <f>102.78-2.78*11</f>
        <v>72.2</v>
      </c>
      <c r="Z11" s="1">
        <v>0</v>
      </c>
      <c r="AA11" s="4">
        <f>102.78-2.78*9</f>
        <v>77.760000000000005</v>
      </c>
      <c r="AB11" s="1">
        <v>10</v>
      </c>
      <c r="AC11" s="11">
        <f>+(0.0333*37)*10+37</f>
        <v>49.320999999999998</v>
      </c>
      <c r="AD11" s="4">
        <f>102.78-2.78*10</f>
        <v>74.98</v>
      </c>
      <c r="AE11" s="1">
        <v>30</v>
      </c>
      <c r="AF11" s="4">
        <f>102.78-2.78*9</f>
        <v>77.760000000000005</v>
      </c>
      <c r="AG11" s="1">
        <v>5</v>
      </c>
      <c r="AH11" s="4">
        <f>102.78-2.78*8</f>
        <v>80.540000000000006</v>
      </c>
      <c r="AI11" s="1">
        <v>0</v>
      </c>
      <c r="AJ11" s="4">
        <f>102.78-2.78*9</f>
        <v>77.760000000000005</v>
      </c>
      <c r="AK11" s="1">
        <v>10</v>
      </c>
      <c r="AL11" s="11">
        <f>+(0.0333*37)*9+37</f>
        <v>48.088900000000002</v>
      </c>
      <c r="AM11" s="4">
        <f>102.78-2.78*9</f>
        <v>77.760000000000005</v>
      </c>
      <c r="AN11" s="1">
        <v>20</v>
      </c>
      <c r="AO11" s="4">
        <f>102.78-2.78*11</f>
        <v>72.2</v>
      </c>
      <c r="AP11" s="1">
        <v>5</v>
      </c>
      <c r="AQ11" s="4">
        <f>102.78-2.78*11</f>
        <v>72.2</v>
      </c>
      <c r="AR11" s="1">
        <v>0</v>
      </c>
      <c r="AS11" s="4">
        <f>102.78-2.78*10</f>
        <v>74.98</v>
      </c>
      <c r="AT11" s="1">
        <v>10</v>
      </c>
      <c r="AU11" s="11"/>
      <c r="AV11" s="4"/>
      <c r="AW11" s="1"/>
      <c r="AX11" s="4"/>
      <c r="AY11" s="1"/>
      <c r="AZ11" s="4"/>
      <c r="BA11" s="1"/>
      <c r="BB11" s="4"/>
      <c r="BC11" s="1"/>
      <c r="BD11" s="11"/>
      <c r="BE11" s="4"/>
      <c r="BF11" s="1"/>
      <c r="BG11" s="4"/>
      <c r="BH11" s="1"/>
      <c r="BI11" s="4"/>
      <c r="BJ11" s="1"/>
      <c r="BK11" s="4"/>
      <c r="BL11" s="1"/>
      <c r="BM11" s="11">
        <f>+(0.0333*27)*12+27</f>
        <v>37.789200000000001</v>
      </c>
      <c r="BN11" s="4">
        <f>102.78-2.78*12</f>
        <v>69.42</v>
      </c>
      <c r="BO11" s="1">
        <v>20</v>
      </c>
      <c r="BP11" s="4">
        <f>102.78-2.78*14</f>
        <v>63.860000000000007</v>
      </c>
      <c r="BQ11" s="1"/>
      <c r="BR11" s="4">
        <f>102.78-2.78*10</f>
        <v>74.98</v>
      </c>
      <c r="BS11" s="1"/>
      <c r="BT11" s="4">
        <f>102.78-2.78*11</f>
        <v>72.2</v>
      </c>
      <c r="BU11" s="1"/>
      <c r="BV11" s="11">
        <f>+(0.0333*57)*9+57</f>
        <v>74.082899999999995</v>
      </c>
      <c r="BW11" s="4">
        <f>102.78-2.78*9</f>
        <v>77.760000000000005</v>
      </c>
      <c r="BX11" s="1">
        <v>50</v>
      </c>
      <c r="BY11" s="4">
        <f>102.78-2.78*9</f>
        <v>77.760000000000005</v>
      </c>
      <c r="BZ11" s="1">
        <v>10</v>
      </c>
      <c r="CA11" s="4">
        <f>102.78-2.78*9</f>
        <v>77.760000000000005</v>
      </c>
      <c r="CB11" s="1">
        <v>10</v>
      </c>
      <c r="CC11" s="4">
        <f>102.78-2.78*9</f>
        <v>77.760000000000005</v>
      </c>
      <c r="CD11" s="1"/>
      <c r="CE11" s="11">
        <f>+(0.0333*57)*8+57</f>
        <v>72.184799999999996</v>
      </c>
      <c r="CF11" s="4">
        <f>102.78-2.78*8</f>
        <v>80.540000000000006</v>
      </c>
      <c r="CG11" s="1">
        <v>50</v>
      </c>
      <c r="CH11" s="4">
        <f>102.78-2.78*9</f>
        <v>77.760000000000005</v>
      </c>
      <c r="CI11" s="1">
        <v>10</v>
      </c>
      <c r="CJ11" s="4">
        <f>102.78-2.78*9</f>
        <v>77.760000000000005</v>
      </c>
      <c r="CK11" s="1">
        <v>7.5</v>
      </c>
      <c r="CL11" s="4">
        <f>102.78-2.78*10</f>
        <v>74.98</v>
      </c>
      <c r="CM11" s="1">
        <v>10</v>
      </c>
      <c r="CN11" s="11">
        <f>+(0.0333*57)*9+57</f>
        <v>74.082899999999995</v>
      </c>
      <c r="CO11" s="4">
        <f>102.78-2.78*9</f>
        <v>77.760000000000005</v>
      </c>
      <c r="CP11" s="1">
        <v>50</v>
      </c>
      <c r="CQ11" s="4">
        <f>102.78-2.78*10</f>
        <v>74.98</v>
      </c>
      <c r="CR11" s="1">
        <v>10</v>
      </c>
      <c r="CS11" s="4">
        <f>102.78-2.78*9</f>
        <v>77.760000000000005</v>
      </c>
      <c r="CT11" s="1">
        <v>7.5</v>
      </c>
      <c r="CU11" s="4">
        <f>102.78-2.78*9</f>
        <v>77.760000000000005</v>
      </c>
      <c r="CV11" s="1">
        <v>10</v>
      </c>
      <c r="CW11" s="11"/>
      <c r="CX11" s="4"/>
      <c r="CY11" s="1"/>
      <c r="CZ11" s="4"/>
      <c r="DA11" s="1"/>
      <c r="DB11" s="4"/>
      <c r="DC11" s="1"/>
      <c r="DD11" s="4"/>
      <c r="DE11" s="1"/>
      <c r="DF11" s="11">
        <f>+(0.0333*67)*8+67</f>
        <v>84.848799999999997</v>
      </c>
      <c r="DG11" s="4">
        <f>102.78-2.78*8</f>
        <v>80.540000000000006</v>
      </c>
      <c r="DH11" s="1">
        <v>60</v>
      </c>
      <c r="DI11" s="4">
        <f>102.78-2.78*10</f>
        <v>74.98</v>
      </c>
      <c r="DJ11" s="1">
        <v>10</v>
      </c>
      <c r="DK11" s="4"/>
      <c r="DL11" s="1">
        <v>10</v>
      </c>
      <c r="DM11" s="4">
        <f>102.78-2.78*10</f>
        <v>74.98</v>
      </c>
      <c r="DN11" s="1">
        <v>20</v>
      </c>
      <c r="DO11" s="11">
        <f>+(0.0333*67)*7+67</f>
        <v>82.617699999999999</v>
      </c>
      <c r="DP11" s="4">
        <f>102.78-2.78*7</f>
        <v>83.320000000000007</v>
      </c>
      <c r="DQ11" s="1">
        <v>60</v>
      </c>
      <c r="DR11" s="4">
        <f>102.78-2.78*8</f>
        <v>80.540000000000006</v>
      </c>
      <c r="DS11" s="1">
        <v>10</v>
      </c>
      <c r="DT11" s="4">
        <f>102.78-2.78*8</f>
        <v>80.540000000000006</v>
      </c>
      <c r="DU11" s="1">
        <v>10</v>
      </c>
      <c r="DV11" s="4">
        <f>102.78-2.78*8</f>
        <v>80.540000000000006</v>
      </c>
      <c r="DW11" s="1">
        <v>20</v>
      </c>
      <c r="DX11" s="11">
        <f>+(0.0333*67)*8+67</f>
        <v>84.848799999999997</v>
      </c>
      <c r="DY11" s="4">
        <f>102.78-2.78*8</f>
        <v>80.540000000000006</v>
      </c>
      <c r="DZ11" s="1">
        <v>60</v>
      </c>
      <c r="EA11" s="4">
        <f>102.78-2.78*13</f>
        <v>66.64</v>
      </c>
      <c r="EB11" s="1">
        <v>10</v>
      </c>
      <c r="EC11" s="4">
        <f>102.78-2.78*9</f>
        <v>77.760000000000005</v>
      </c>
      <c r="ED11" s="1">
        <v>10</v>
      </c>
      <c r="EE11" s="4">
        <f>102.78-2.78*9</f>
        <v>77.760000000000005</v>
      </c>
      <c r="EF11" s="1">
        <v>20</v>
      </c>
      <c r="EG11" s="11"/>
      <c r="EH11" s="4"/>
      <c r="EI11" s="1"/>
      <c r="EJ11" s="4"/>
      <c r="EK11" s="1"/>
      <c r="EL11" s="4"/>
      <c r="EM11" s="1"/>
      <c r="EN11" s="4"/>
      <c r="EO11" s="1"/>
      <c r="EP11" s="11">
        <f>+(0.0333*67)*9+67</f>
        <v>87.079900000000009</v>
      </c>
      <c r="EQ11" s="11" t="s">
        <v>76</v>
      </c>
      <c r="ER11" s="4">
        <f>102.78-2.78*9</f>
        <v>77.760000000000005</v>
      </c>
      <c r="ES11" s="1">
        <v>49.432629641598247</v>
      </c>
    </row>
    <row r="12" spans="1:149" hidden="1" x14ac:dyDescent="0.3">
      <c r="A12" s="10" t="s">
        <v>55</v>
      </c>
      <c r="B12" s="11">
        <f>+(0.0333*27)*6+27</f>
        <v>32.394599999999997</v>
      </c>
      <c r="C12" s="4">
        <f>102.78-2.78*6</f>
        <v>86.1</v>
      </c>
      <c r="D12" s="1">
        <v>20</v>
      </c>
      <c r="E12" s="4">
        <f>102.78-2.78*6</f>
        <v>86.1</v>
      </c>
      <c r="F12" s="1">
        <v>5</v>
      </c>
      <c r="G12" s="4">
        <f>102.78-2.78*7</f>
        <v>83.320000000000007</v>
      </c>
      <c r="H12" s="1">
        <v>0</v>
      </c>
      <c r="I12" s="4">
        <f>102.78-2.78*6</f>
        <v>86.1</v>
      </c>
      <c r="J12" s="1">
        <v>10</v>
      </c>
      <c r="K12" s="11">
        <f>+(0.0333*27)*8+27</f>
        <v>34.192799999999998</v>
      </c>
      <c r="L12" s="4">
        <f>102.78-2.78*8</f>
        <v>80.540000000000006</v>
      </c>
      <c r="M12" s="1">
        <v>20</v>
      </c>
      <c r="N12" s="4">
        <f>102.78-2.78*8</f>
        <v>80.540000000000006</v>
      </c>
      <c r="O12" s="1">
        <v>5</v>
      </c>
      <c r="P12" s="4">
        <f>102.78-2.78*8</f>
        <v>80.540000000000006</v>
      </c>
      <c r="Q12" s="1">
        <v>0</v>
      </c>
      <c r="R12" s="4">
        <f>102.78-2.78*6</f>
        <v>86.1</v>
      </c>
      <c r="S12" s="1">
        <v>10</v>
      </c>
      <c r="T12" s="11"/>
      <c r="U12" s="4"/>
      <c r="V12" s="1"/>
      <c r="W12" s="4"/>
      <c r="X12" s="1">
        <v>5</v>
      </c>
      <c r="Y12" s="4"/>
      <c r="Z12" s="1"/>
      <c r="AA12" s="4"/>
      <c r="AB12" s="1">
        <v>10</v>
      </c>
      <c r="AC12" s="11">
        <f>+(0.0333*37)*8+37</f>
        <v>46.8568</v>
      </c>
      <c r="AD12" s="4">
        <f>102.78-2.78*8</f>
        <v>80.540000000000006</v>
      </c>
      <c r="AE12" s="1"/>
      <c r="AF12" s="4">
        <f>102.78-2.78*9</f>
        <v>77.760000000000005</v>
      </c>
      <c r="AG12" s="1">
        <v>5</v>
      </c>
      <c r="AH12" s="4">
        <f>102.78-2.78*8</f>
        <v>80.540000000000006</v>
      </c>
      <c r="AI12" s="1"/>
      <c r="AJ12" s="4"/>
      <c r="AK12" s="1">
        <v>10</v>
      </c>
      <c r="AL12" s="11">
        <f>+(0.0333*37)*8+37</f>
        <v>46.8568</v>
      </c>
      <c r="AM12" s="4">
        <f>102.78-2.78*8</f>
        <v>80.540000000000006</v>
      </c>
      <c r="AN12" s="1">
        <v>20</v>
      </c>
      <c r="AO12" s="4">
        <f>102.78-2.78*9</f>
        <v>77.760000000000005</v>
      </c>
      <c r="AP12" s="1">
        <v>5</v>
      </c>
      <c r="AQ12" s="4">
        <f>102.78-2.78*9</f>
        <v>77.760000000000005</v>
      </c>
      <c r="AR12" s="1"/>
      <c r="AS12" s="4">
        <f>102.78-2.78*8</f>
        <v>80.540000000000006</v>
      </c>
      <c r="AT12" s="1">
        <v>10</v>
      </c>
      <c r="AU12" s="11"/>
      <c r="AV12" s="4"/>
      <c r="AW12" s="1"/>
      <c r="AX12" s="4"/>
      <c r="AY12" s="1"/>
      <c r="AZ12" s="4"/>
      <c r="BA12" s="1"/>
      <c r="BB12" s="4"/>
      <c r="BC12" s="1"/>
      <c r="BD12" s="11">
        <f>+(0.0333*27)*8+27</f>
        <v>34.192799999999998</v>
      </c>
      <c r="BE12" s="4">
        <f>102.78-2.78*8</f>
        <v>80.540000000000006</v>
      </c>
      <c r="BF12" s="1"/>
      <c r="BG12" s="4">
        <f>102.78-2.78*8</f>
        <v>80.540000000000006</v>
      </c>
      <c r="BH12" s="1"/>
      <c r="BI12" s="4">
        <f>102.78-2.78*8</f>
        <v>80.540000000000006</v>
      </c>
      <c r="BJ12" s="1"/>
      <c r="BK12" s="4">
        <f>102.78-2.78*7</f>
        <v>83.320000000000007</v>
      </c>
      <c r="BL12" s="1"/>
      <c r="BM12" s="11">
        <f>+(0.0333*27)*8+27</f>
        <v>34.192799999999998</v>
      </c>
      <c r="BN12" s="4">
        <f>102.78-2.78*8</f>
        <v>80.540000000000006</v>
      </c>
      <c r="BO12" s="1"/>
      <c r="BP12" s="4">
        <f>102.78-2.78*8</f>
        <v>80.540000000000006</v>
      </c>
      <c r="BQ12" s="1"/>
      <c r="BR12" s="4">
        <f>102.78-2.78*8</f>
        <v>80.540000000000006</v>
      </c>
      <c r="BS12" s="1"/>
      <c r="BT12" s="4">
        <f>102.78-2.78*7</f>
        <v>83.320000000000007</v>
      </c>
      <c r="BU12" s="1"/>
      <c r="BV12" s="11">
        <f>+(0.0333*27)*8+27</f>
        <v>34.192799999999998</v>
      </c>
      <c r="BW12" s="4">
        <f>102.78-2.78*8</f>
        <v>80.540000000000006</v>
      </c>
      <c r="BX12" s="1"/>
      <c r="BY12" s="4">
        <f>102.78-2.78*8</f>
        <v>80.540000000000006</v>
      </c>
      <c r="BZ12" s="1"/>
      <c r="CA12" s="4">
        <f>102.78-2.78*8</f>
        <v>80.540000000000006</v>
      </c>
      <c r="CB12" s="1"/>
      <c r="CC12" s="4">
        <f>102.78-2.78*7</f>
        <v>83.320000000000007</v>
      </c>
      <c r="CD12" s="1"/>
      <c r="CE12" s="11">
        <f>+(0.0333*27)*8+27</f>
        <v>34.192799999999998</v>
      </c>
      <c r="CF12" s="4">
        <f>102.78-2.78*8</f>
        <v>80.540000000000006</v>
      </c>
      <c r="CG12" s="1"/>
      <c r="CH12" s="4">
        <f>102.78-2.78*8</f>
        <v>80.540000000000006</v>
      </c>
      <c r="CI12" s="1"/>
      <c r="CJ12" s="4">
        <f>102.78-2.78*8</f>
        <v>80.540000000000006</v>
      </c>
      <c r="CK12" s="1"/>
      <c r="CL12" s="4">
        <f>102.78-2.78*7</f>
        <v>83.320000000000007</v>
      </c>
      <c r="CM12" s="1"/>
      <c r="CN12" s="11">
        <f>+(0.0333*27)*8+27</f>
        <v>34.192799999999998</v>
      </c>
      <c r="CO12" s="4">
        <f>102.78-2.78*8</f>
        <v>80.540000000000006</v>
      </c>
      <c r="CP12" s="1"/>
      <c r="CQ12" s="4">
        <f>102.78-2.78*8</f>
        <v>80.540000000000006</v>
      </c>
      <c r="CR12" s="1"/>
      <c r="CS12" s="4">
        <f>102.78-2.78*8</f>
        <v>80.540000000000006</v>
      </c>
      <c r="CT12" s="1"/>
      <c r="CU12" s="4">
        <f>102.78-2.78*7</f>
        <v>83.320000000000007</v>
      </c>
      <c r="CV12" s="1"/>
      <c r="CW12" s="11">
        <f>+(0.0333*27)*8+27</f>
        <v>34.192799999999998</v>
      </c>
      <c r="CX12" s="4">
        <f>102.78-2.78*8</f>
        <v>80.540000000000006</v>
      </c>
      <c r="CY12" s="1"/>
      <c r="CZ12" s="4">
        <f>102.78-2.78*8</f>
        <v>80.540000000000006</v>
      </c>
      <c r="DA12" s="1"/>
      <c r="DB12" s="4">
        <f>102.78-2.78*8</f>
        <v>80.540000000000006</v>
      </c>
      <c r="DC12" s="1"/>
      <c r="DD12" s="4">
        <f>102.78-2.78*7</f>
        <v>83.320000000000007</v>
      </c>
      <c r="DE12" s="1"/>
      <c r="DF12" s="11">
        <f>+(0.0333*27)*8+27</f>
        <v>34.192799999999998</v>
      </c>
      <c r="DG12" s="4">
        <f>102.78-2.78*8</f>
        <v>80.540000000000006</v>
      </c>
      <c r="DH12" s="1"/>
      <c r="DI12" s="4">
        <f>102.78-2.78*8</f>
        <v>80.540000000000006</v>
      </c>
      <c r="DJ12" s="1"/>
      <c r="DK12" s="4">
        <f>102.78-2.78*8</f>
        <v>80.540000000000006</v>
      </c>
      <c r="DL12" s="1"/>
      <c r="DM12" s="4">
        <f>102.78-2.78*7</f>
        <v>83.320000000000007</v>
      </c>
      <c r="DN12" s="1"/>
      <c r="DO12" s="11">
        <f>+(0.0333*27)*8+27</f>
        <v>34.192799999999998</v>
      </c>
      <c r="DP12" s="4">
        <f>102.78-2.78*8</f>
        <v>80.540000000000006</v>
      </c>
      <c r="DQ12" s="1"/>
      <c r="DR12" s="4">
        <f>102.78-2.78*8</f>
        <v>80.540000000000006</v>
      </c>
      <c r="DS12" s="1"/>
      <c r="DT12" s="4">
        <f>102.78-2.78*8</f>
        <v>80.540000000000006</v>
      </c>
      <c r="DU12" s="1"/>
      <c r="DV12" s="4">
        <f>102.78-2.78*7</f>
        <v>83.320000000000007</v>
      </c>
      <c r="DW12" s="1"/>
      <c r="DX12" s="11">
        <f>+(0.0333*27)*8+27</f>
        <v>34.192799999999998</v>
      </c>
      <c r="DY12" s="4">
        <f>102.78-2.78*8</f>
        <v>80.540000000000006</v>
      </c>
      <c r="DZ12" s="1"/>
      <c r="EA12" s="4">
        <f>102.78-2.78*8</f>
        <v>80.540000000000006</v>
      </c>
      <c r="EB12" s="1"/>
      <c r="EC12" s="4">
        <f>102.78-2.78*8</f>
        <v>80.540000000000006</v>
      </c>
      <c r="ED12" s="1"/>
      <c r="EE12" s="4">
        <f>102.78-2.78*7</f>
        <v>83.320000000000007</v>
      </c>
      <c r="EF12" s="1"/>
      <c r="EG12" s="11">
        <f>+(0.0333*27)*8+27</f>
        <v>34.192799999999998</v>
      </c>
      <c r="EH12" s="4">
        <f>102.78-2.78*8</f>
        <v>80.540000000000006</v>
      </c>
      <c r="EI12" s="1"/>
      <c r="EJ12" s="4">
        <f>102.78-2.78*8</f>
        <v>80.540000000000006</v>
      </c>
      <c r="EK12" s="1"/>
      <c r="EL12" s="4">
        <f>102.78-2.78*8</f>
        <v>80.540000000000006</v>
      </c>
      <c r="EM12" s="1"/>
      <c r="EN12" s="4">
        <f>102.78-2.78*7</f>
        <v>83.320000000000007</v>
      </c>
      <c r="EO12" s="1"/>
      <c r="EP12" s="11">
        <f>+(0.0333*27)*8+27</f>
        <v>34.192799999999998</v>
      </c>
      <c r="EQ12" s="11" t="s">
        <v>76</v>
      </c>
      <c r="ER12" s="4">
        <f>102.78-2.78*8</f>
        <v>80.540000000000006</v>
      </c>
      <c r="ES12" s="1">
        <v>53.533958598104903</v>
      </c>
    </row>
    <row r="13" spans="1:149" x14ac:dyDescent="0.3">
      <c r="A13" s="10" t="s">
        <v>56</v>
      </c>
      <c r="B13" s="11">
        <f>+(0.0333*27)*8+27</f>
        <v>34.192799999999998</v>
      </c>
      <c r="C13" s="4">
        <f>102.78-2.78*8</f>
        <v>80.540000000000006</v>
      </c>
      <c r="D13" s="1">
        <v>20</v>
      </c>
      <c r="E13" s="4">
        <f>102.78-2.78*6</f>
        <v>86.1</v>
      </c>
      <c r="F13" s="1">
        <v>5</v>
      </c>
      <c r="G13" s="4">
        <f>102.78-2.78*7</f>
        <v>83.320000000000007</v>
      </c>
      <c r="H13" s="1">
        <v>0</v>
      </c>
      <c r="I13" s="4">
        <f>102.78-2.78*8</f>
        <v>80.540000000000006</v>
      </c>
      <c r="J13" s="1">
        <v>10</v>
      </c>
      <c r="K13" s="11"/>
      <c r="L13" s="4"/>
      <c r="M13" s="1"/>
      <c r="N13" s="4"/>
      <c r="O13" s="1"/>
      <c r="P13" s="4"/>
      <c r="Q13" s="1"/>
      <c r="R13" s="4"/>
      <c r="S13" s="1"/>
      <c r="T13" s="11"/>
      <c r="U13" s="4"/>
      <c r="V13" s="1"/>
      <c r="W13" s="4"/>
      <c r="X13" s="1"/>
      <c r="Y13" s="4"/>
      <c r="Z13" s="1"/>
      <c r="AA13" s="4"/>
      <c r="AB13" s="1"/>
      <c r="AC13" s="11">
        <f>+(0.0333*37)*8+37</f>
        <v>46.8568</v>
      </c>
      <c r="AD13" s="4">
        <f>102.78-2.78*8</f>
        <v>80.540000000000006</v>
      </c>
      <c r="AE13" s="1"/>
      <c r="AF13" s="4">
        <f>102.78-2.78*9</f>
        <v>77.760000000000005</v>
      </c>
      <c r="AG13" s="1"/>
      <c r="AH13" s="4">
        <f>102.78-2.78*9</f>
        <v>77.760000000000005</v>
      </c>
      <c r="AI13" s="1"/>
      <c r="AJ13" s="4"/>
      <c r="AK13" s="1"/>
      <c r="AL13" s="11">
        <f>+(0.0333*37)*9+37</f>
        <v>48.088900000000002</v>
      </c>
      <c r="AM13" s="4">
        <f>102.78-2.78*9</f>
        <v>77.760000000000005</v>
      </c>
      <c r="AN13" s="1">
        <v>20</v>
      </c>
      <c r="AO13" s="4">
        <f>102.78-2.78*9</f>
        <v>77.760000000000005</v>
      </c>
      <c r="AP13" s="1"/>
      <c r="AQ13" s="4">
        <f>102.78-2.78*9</f>
        <v>77.760000000000005</v>
      </c>
      <c r="AR13" s="1"/>
      <c r="AS13" s="4">
        <f>102.78-2.78*9</f>
        <v>77.760000000000005</v>
      </c>
      <c r="AT13" s="1"/>
      <c r="AU13" s="11">
        <f>+(0.0333*27)*9+27</f>
        <v>35.091900000000003</v>
      </c>
      <c r="AV13" s="4">
        <f>102.78-2.78*9</f>
        <v>77.760000000000005</v>
      </c>
      <c r="AW13" s="1">
        <v>20</v>
      </c>
      <c r="AX13" s="4">
        <f>102.78-2.78*9</f>
        <v>77.760000000000005</v>
      </c>
      <c r="AY13" s="1"/>
      <c r="AZ13" s="4">
        <f>102.78-2.78*9</f>
        <v>77.760000000000005</v>
      </c>
      <c r="BA13" s="1"/>
      <c r="BB13" s="4">
        <f>102.78-2.78*9</f>
        <v>77.760000000000005</v>
      </c>
      <c r="BC13" s="1"/>
      <c r="BD13" s="11">
        <f>+(0.0333*27)*8+27</f>
        <v>34.192799999999998</v>
      </c>
      <c r="BE13" s="4">
        <f>102.78-2.78*8</f>
        <v>80.540000000000006</v>
      </c>
      <c r="BF13" s="1">
        <v>20</v>
      </c>
      <c r="BG13" s="4">
        <f>102.78-2.78*8</f>
        <v>80.540000000000006</v>
      </c>
      <c r="BH13" s="1"/>
      <c r="BI13" s="4">
        <f>102.78-2.78*8</f>
        <v>80.540000000000006</v>
      </c>
      <c r="BJ13" s="1"/>
      <c r="BK13" s="4">
        <f>102.78-2.78*9</f>
        <v>77.760000000000005</v>
      </c>
      <c r="BL13" s="1"/>
      <c r="BM13" s="11"/>
      <c r="BN13" s="4"/>
      <c r="BO13" s="1"/>
      <c r="BP13" s="4"/>
      <c r="BQ13" s="1"/>
      <c r="BR13" s="4"/>
      <c r="BS13" s="1"/>
      <c r="BT13" s="4"/>
      <c r="BU13" s="1"/>
      <c r="BV13" s="11">
        <f>+(0.0333*47)*9+47</f>
        <v>61.085900000000002</v>
      </c>
      <c r="BW13" s="4"/>
      <c r="BX13" s="1"/>
      <c r="BY13" s="4">
        <f>102.78-2.78*9</f>
        <v>77.760000000000005</v>
      </c>
      <c r="BZ13" s="1">
        <v>5</v>
      </c>
      <c r="CA13" s="4">
        <f>102.78-2.78*9</f>
        <v>77.760000000000005</v>
      </c>
      <c r="CB13" s="1">
        <v>0</v>
      </c>
      <c r="CC13" s="4">
        <f>102.78-2.78*7</f>
        <v>83.320000000000007</v>
      </c>
      <c r="CD13" s="1"/>
      <c r="CE13" s="11">
        <f>+(0.0333*47)*8+47</f>
        <v>59.520800000000001</v>
      </c>
      <c r="CF13" s="4">
        <f>102.78-2.78*8</f>
        <v>80.540000000000006</v>
      </c>
      <c r="CG13" s="1"/>
      <c r="CH13" s="4">
        <f>102.78-2.78*9</f>
        <v>77.760000000000005</v>
      </c>
      <c r="CI13" s="1">
        <v>5</v>
      </c>
      <c r="CJ13" s="4"/>
      <c r="CK13" s="1">
        <v>5</v>
      </c>
      <c r="CL13" s="4">
        <f>102.78-2.78*9</f>
        <v>77.760000000000005</v>
      </c>
      <c r="CM13" s="1">
        <v>10</v>
      </c>
      <c r="CN13" s="11"/>
      <c r="CO13" s="4"/>
      <c r="CP13" s="1"/>
      <c r="CQ13" s="4"/>
      <c r="CR13" s="1"/>
      <c r="CS13" s="4"/>
      <c r="CT13" s="1"/>
      <c r="CU13" s="4"/>
      <c r="CV13" s="1"/>
      <c r="CW13" s="11"/>
      <c r="CX13" s="4"/>
      <c r="CY13" s="1"/>
      <c r="CZ13" s="4"/>
      <c r="DA13" s="1"/>
      <c r="DB13" s="4"/>
      <c r="DC13" s="1"/>
      <c r="DD13" s="4"/>
      <c r="DE13" s="1"/>
      <c r="DF13" s="11"/>
      <c r="DG13" s="4"/>
      <c r="DH13" s="1"/>
      <c r="DI13" s="4"/>
      <c r="DJ13" s="1"/>
      <c r="DK13" s="4"/>
      <c r="DL13" s="1"/>
      <c r="DM13" s="4"/>
      <c r="DN13" s="1"/>
      <c r="DO13" s="11"/>
      <c r="DP13" s="4"/>
      <c r="DQ13" s="1"/>
      <c r="DR13" s="4"/>
      <c r="DS13" s="1"/>
      <c r="DT13" s="4"/>
      <c r="DU13" s="1"/>
      <c r="DV13" s="4"/>
      <c r="DW13" s="1"/>
      <c r="DX13" s="11">
        <f>+(0.0333*57)*8+57</f>
        <v>72.184799999999996</v>
      </c>
      <c r="DY13" s="4">
        <f>102.78-2.78*8</f>
        <v>80.540000000000006</v>
      </c>
      <c r="DZ13" s="1">
        <v>50</v>
      </c>
      <c r="EA13" s="4">
        <f>102.78-2.78*8</f>
        <v>80.540000000000006</v>
      </c>
      <c r="EB13" s="1">
        <v>5</v>
      </c>
      <c r="EC13" s="4">
        <f>102.78-2.78*8</f>
        <v>80.540000000000006</v>
      </c>
      <c r="ED13" s="1">
        <v>7.5</v>
      </c>
      <c r="EE13" s="4">
        <f>102.78-2.78*8</f>
        <v>80.540000000000006</v>
      </c>
      <c r="EF13" s="1">
        <v>20</v>
      </c>
      <c r="EG13" s="11">
        <f>+(0.0333*37)*8+37</f>
        <v>46.8568</v>
      </c>
      <c r="EH13" s="4">
        <f>102.78-2.78*8</f>
        <v>80.540000000000006</v>
      </c>
      <c r="EI13" s="1">
        <v>50</v>
      </c>
      <c r="EJ13" s="4">
        <f>102.78-2.78*9</f>
        <v>77.760000000000005</v>
      </c>
      <c r="EK13" s="1">
        <v>5</v>
      </c>
      <c r="EL13" s="4">
        <f>102.78-2.78*9</f>
        <v>77.760000000000005</v>
      </c>
      <c r="EM13" s="1">
        <v>7.5</v>
      </c>
      <c r="EN13" s="4">
        <f>102.78-2.78*8</f>
        <v>80.540000000000006</v>
      </c>
      <c r="EO13" s="1">
        <v>20</v>
      </c>
      <c r="EP13" s="11">
        <f>+(0.0333*57)*8+57</f>
        <v>72.184799999999996</v>
      </c>
      <c r="EQ13" s="11" t="s">
        <v>76</v>
      </c>
      <c r="ER13" s="4">
        <f>102.78-2.78*8</f>
        <v>80.540000000000006</v>
      </c>
      <c r="ES13" s="1">
        <v>52</v>
      </c>
    </row>
    <row r="14" spans="1:149" x14ac:dyDescent="0.3">
      <c r="A14" s="9" t="s">
        <v>57</v>
      </c>
      <c r="B14" s="11">
        <f>+(0.0333*17)*12+17</f>
        <v>23.793199999999999</v>
      </c>
      <c r="C14" s="4">
        <f>102.78-2.78*12</f>
        <v>69.42</v>
      </c>
      <c r="D14" s="1">
        <v>10</v>
      </c>
      <c r="E14" s="4">
        <f>102.78-2.78*8</f>
        <v>80.540000000000006</v>
      </c>
      <c r="F14" s="1">
        <v>5</v>
      </c>
      <c r="G14" s="4">
        <f>102.78-2.78*12</f>
        <v>69.42</v>
      </c>
      <c r="H14" s="1">
        <v>0</v>
      </c>
      <c r="I14" s="4">
        <f>102.78-2.78*12</f>
        <v>69.42</v>
      </c>
      <c r="J14" s="1">
        <v>10</v>
      </c>
      <c r="K14" s="11">
        <f>+(0.0333*17)*12+17</f>
        <v>23.793199999999999</v>
      </c>
      <c r="L14" s="4">
        <f>102.78-2.78*12</f>
        <v>69.42</v>
      </c>
      <c r="M14" s="1">
        <v>10</v>
      </c>
      <c r="N14" s="4">
        <f>102.78-2.78*8</f>
        <v>80.540000000000006</v>
      </c>
      <c r="O14" s="1">
        <v>5</v>
      </c>
      <c r="P14" s="4">
        <f>102.78-2.78*12</f>
        <v>69.42</v>
      </c>
      <c r="Q14" s="1">
        <v>0</v>
      </c>
      <c r="R14" s="4">
        <f>102.78-2.78*8</f>
        <v>80.540000000000006</v>
      </c>
      <c r="S14" s="1">
        <v>10</v>
      </c>
      <c r="T14" s="11"/>
      <c r="U14" s="4"/>
      <c r="V14" s="1"/>
      <c r="W14" s="4"/>
      <c r="X14" s="1">
        <v>5</v>
      </c>
      <c r="Y14" s="4"/>
      <c r="Z14" s="1"/>
      <c r="AA14" s="4"/>
      <c r="AB14" s="1">
        <v>10</v>
      </c>
      <c r="AC14" s="11">
        <f>+(0.0333*17)*9+17</f>
        <v>22.094900000000003</v>
      </c>
      <c r="AD14" s="4">
        <f>102.78-2.78*9</f>
        <v>77.760000000000005</v>
      </c>
      <c r="AE14" s="1">
        <v>10</v>
      </c>
      <c r="AF14" s="4">
        <f>102.78-2.78*9</f>
        <v>77.760000000000005</v>
      </c>
      <c r="AG14" s="1">
        <v>5</v>
      </c>
      <c r="AH14" s="4">
        <f>102.78-2.78*9</f>
        <v>77.760000000000005</v>
      </c>
      <c r="AI14" s="1"/>
      <c r="AJ14" s="4"/>
      <c r="AK14" s="1">
        <v>10</v>
      </c>
      <c r="AL14" s="11">
        <f>+(0.0333*17)*9+17</f>
        <v>22.094900000000003</v>
      </c>
      <c r="AM14" s="4">
        <f>102.78-2.78*9</f>
        <v>77.760000000000005</v>
      </c>
      <c r="AN14" s="1">
        <v>10</v>
      </c>
      <c r="AO14" s="4">
        <f>102.78-2.78*9</f>
        <v>77.760000000000005</v>
      </c>
      <c r="AP14" s="1">
        <v>5</v>
      </c>
      <c r="AQ14" s="4">
        <f>102.78-2.78*9</f>
        <v>77.760000000000005</v>
      </c>
      <c r="AR14" s="1"/>
      <c r="AS14" s="4">
        <f>102.78-2.78*9</f>
        <v>77.760000000000005</v>
      </c>
      <c r="AT14" s="1">
        <v>10</v>
      </c>
      <c r="AU14" s="11">
        <f>+(0.0333*27)*9+27</f>
        <v>35.091900000000003</v>
      </c>
      <c r="AV14" s="4">
        <f>102.78-2.78*9</f>
        <v>77.760000000000005</v>
      </c>
      <c r="AW14" s="1">
        <v>20</v>
      </c>
      <c r="AX14" s="4">
        <f>102.78-2.78*9</f>
        <v>77.760000000000005</v>
      </c>
      <c r="AY14" s="1">
        <v>5</v>
      </c>
      <c r="AZ14" s="4">
        <f>102.78-2.78*9</f>
        <v>77.760000000000005</v>
      </c>
      <c r="BA14" s="1"/>
      <c r="BB14" s="4">
        <f>102.78-2.78*9</f>
        <v>77.760000000000005</v>
      </c>
      <c r="BC14" s="1">
        <v>10</v>
      </c>
      <c r="BD14" s="11"/>
      <c r="BE14" s="4"/>
      <c r="BF14" s="1"/>
      <c r="BG14" s="4"/>
      <c r="BH14" s="1"/>
      <c r="BI14" s="4"/>
      <c r="BJ14" s="1"/>
      <c r="BK14" s="4"/>
      <c r="BL14" s="1"/>
      <c r="BM14" s="11"/>
      <c r="BN14" s="4"/>
      <c r="BO14" s="1"/>
      <c r="BP14" s="4"/>
      <c r="BQ14" s="1"/>
      <c r="BR14" s="4"/>
      <c r="BS14" s="1"/>
      <c r="BT14" s="4"/>
      <c r="BU14" s="1"/>
      <c r="BV14" s="11"/>
      <c r="BW14" s="4"/>
      <c r="BX14" s="1"/>
      <c r="BY14" s="4"/>
      <c r="BZ14" s="1"/>
      <c r="CA14" s="4"/>
      <c r="CB14" s="1"/>
      <c r="CC14" s="4"/>
      <c r="CD14" s="1"/>
      <c r="CE14" s="11"/>
      <c r="CF14" s="4"/>
      <c r="CG14" s="1"/>
      <c r="CH14" s="4"/>
      <c r="CI14" s="1"/>
      <c r="CJ14" s="4"/>
      <c r="CK14" s="1"/>
      <c r="CL14" s="4"/>
      <c r="CM14" s="1"/>
      <c r="CN14" s="11"/>
      <c r="CO14" s="4"/>
      <c r="CP14" s="1"/>
      <c r="CQ14" s="4"/>
      <c r="CR14" s="1"/>
      <c r="CS14" s="4"/>
      <c r="CT14" s="1"/>
      <c r="CU14" s="4"/>
      <c r="CV14" s="1"/>
      <c r="CW14" s="11"/>
      <c r="CX14" s="4"/>
      <c r="CY14" s="1"/>
      <c r="CZ14" s="4"/>
      <c r="DA14" s="1"/>
      <c r="DB14" s="4"/>
      <c r="DC14" s="1"/>
      <c r="DD14" s="4"/>
      <c r="DE14" s="1"/>
      <c r="DF14" s="11"/>
      <c r="DG14" s="4"/>
      <c r="DH14" s="1"/>
      <c r="DI14" s="4"/>
      <c r="DJ14" s="1"/>
      <c r="DK14" s="4"/>
      <c r="DL14" s="1"/>
      <c r="DM14" s="4"/>
      <c r="DN14" s="1"/>
      <c r="DO14" s="11"/>
      <c r="DP14" s="4"/>
      <c r="DQ14" s="1"/>
      <c r="DR14" s="4"/>
      <c r="DS14" s="1"/>
      <c r="DT14" s="4"/>
      <c r="DU14" s="1"/>
      <c r="DV14" s="4"/>
      <c r="DW14" s="1"/>
      <c r="DX14" s="11"/>
      <c r="DY14" s="4"/>
      <c r="DZ14" s="1"/>
      <c r="EA14" s="4"/>
      <c r="EB14" s="1"/>
      <c r="EC14" s="4"/>
      <c r="ED14" s="1"/>
      <c r="EE14" s="4"/>
      <c r="EF14" s="1"/>
      <c r="EG14" s="11"/>
      <c r="EH14" s="4"/>
      <c r="EI14" s="1"/>
      <c r="EJ14" s="4"/>
      <c r="EK14" s="1"/>
      <c r="EL14" s="4"/>
      <c r="EM14" s="1"/>
      <c r="EN14" s="4"/>
      <c r="EO14" s="1"/>
      <c r="EP14" s="11">
        <f>+(0.0333*37)*9+37</f>
        <v>48.088900000000002</v>
      </c>
      <c r="EQ14" s="11" t="s">
        <v>76</v>
      </c>
      <c r="ER14" s="4">
        <v>85</v>
      </c>
      <c r="ES14" s="1">
        <v>53.518237860934484</v>
      </c>
    </row>
    <row r="15" spans="1:149" x14ac:dyDescent="0.3">
      <c r="A15" s="9" t="s">
        <v>58</v>
      </c>
      <c r="B15" s="11">
        <f>+(0.0333*47)*10+47</f>
        <v>62.651000000000003</v>
      </c>
      <c r="C15" s="4">
        <f>102.78-2.78*10</f>
        <v>74.98</v>
      </c>
      <c r="D15" s="1">
        <v>10</v>
      </c>
      <c r="E15" s="4">
        <f>102.78-2.78*9</f>
        <v>77.760000000000005</v>
      </c>
      <c r="F15" s="1">
        <v>5</v>
      </c>
      <c r="G15" s="4">
        <f>102.78-2.78*24</f>
        <v>36.06</v>
      </c>
      <c r="H15" s="1">
        <v>0</v>
      </c>
      <c r="I15" s="4"/>
      <c r="J15" s="1">
        <v>10</v>
      </c>
      <c r="K15" s="11">
        <f>+(0.0333*17)*14+17</f>
        <v>24.9254</v>
      </c>
      <c r="L15" s="4">
        <f>102.78-2.78*14</f>
        <v>63.860000000000007</v>
      </c>
      <c r="M15" s="1">
        <v>10</v>
      </c>
      <c r="N15" s="4">
        <f>102.78-2.78*8</f>
        <v>80.540000000000006</v>
      </c>
      <c r="O15" s="1">
        <v>5</v>
      </c>
      <c r="P15" s="4">
        <f>102.78-2.78*19</f>
        <v>49.960000000000008</v>
      </c>
      <c r="Q15" s="1">
        <v>0</v>
      </c>
      <c r="R15" s="4"/>
      <c r="S15" s="1">
        <v>10</v>
      </c>
      <c r="T15" s="11">
        <f>+(0.0333*17)*9+47</f>
        <v>52.094900000000003</v>
      </c>
      <c r="U15" s="4">
        <f>102.78-2.78*9</f>
        <v>77.760000000000005</v>
      </c>
      <c r="V15" s="1">
        <v>40</v>
      </c>
      <c r="W15" s="4">
        <f>102.78-2.78*8</f>
        <v>80.540000000000006</v>
      </c>
      <c r="X15" s="1">
        <v>5</v>
      </c>
      <c r="Y15" s="4">
        <f>102.78-2.78*8</f>
        <v>80.540000000000006</v>
      </c>
      <c r="Z15" s="1">
        <v>0</v>
      </c>
      <c r="AA15" s="4"/>
      <c r="AB15" s="1">
        <v>10</v>
      </c>
      <c r="AC15" s="11">
        <f>+(0.0333*47)*8+47</f>
        <v>59.520800000000001</v>
      </c>
      <c r="AD15" s="4">
        <f>102.78-2.78*8</f>
        <v>80.540000000000006</v>
      </c>
      <c r="AE15" s="1">
        <v>40</v>
      </c>
      <c r="AF15" s="4">
        <f>102.78-2.78*9</f>
        <v>77.760000000000005</v>
      </c>
      <c r="AG15" s="1">
        <v>5</v>
      </c>
      <c r="AH15" s="4">
        <f>102.78-2.78*14</f>
        <v>63.860000000000007</v>
      </c>
      <c r="AI15" s="1">
        <v>0</v>
      </c>
      <c r="AJ15" s="4"/>
      <c r="AK15" s="1">
        <v>10</v>
      </c>
      <c r="AL15" s="11"/>
      <c r="AM15" s="4"/>
      <c r="AN15" s="1"/>
      <c r="AO15" s="4"/>
      <c r="AP15" s="1"/>
      <c r="AQ15" s="4"/>
      <c r="AR15" s="1"/>
      <c r="AS15" s="4"/>
      <c r="AT15" s="1">
        <v>10</v>
      </c>
      <c r="AU15" s="11"/>
      <c r="AV15" s="4"/>
      <c r="AW15" s="1">
        <v>20</v>
      </c>
      <c r="AX15" s="4"/>
      <c r="AY15" s="1"/>
      <c r="AZ15" s="4"/>
      <c r="BA15" s="1"/>
      <c r="BB15" s="4"/>
      <c r="BC15" s="1">
        <v>10</v>
      </c>
      <c r="BD15" s="11"/>
      <c r="BE15" s="4"/>
      <c r="BF15" s="1"/>
      <c r="BG15" s="4"/>
      <c r="BH15" s="1"/>
      <c r="BI15" s="4"/>
      <c r="BJ15" s="1"/>
      <c r="BK15" s="4"/>
      <c r="BL15" s="1"/>
      <c r="BM15" s="11"/>
      <c r="BN15" s="4"/>
      <c r="BO15" s="1"/>
      <c r="BP15" s="4"/>
      <c r="BQ15" s="1"/>
      <c r="BR15" s="4"/>
      <c r="BS15" s="1"/>
      <c r="BT15" s="4"/>
      <c r="BU15" s="1"/>
      <c r="BV15" s="11"/>
      <c r="BW15" s="4"/>
      <c r="BX15" s="1"/>
      <c r="BY15" s="4"/>
      <c r="BZ15" s="1"/>
      <c r="CA15" s="4"/>
      <c r="CB15" s="1"/>
      <c r="CC15" s="4"/>
      <c r="CD15" s="1"/>
      <c r="CE15" s="11"/>
      <c r="CF15" s="4"/>
      <c r="CG15" s="1"/>
      <c r="CH15" s="4"/>
      <c r="CI15" s="1"/>
      <c r="CJ15" s="4"/>
      <c r="CK15" s="1"/>
      <c r="CL15" s="4"/>
      <c r="CM15" s="1"/>
      <c r="CN15" s="11"/>
      <c r="CO15" s="4"/>
      <c r="CP15" s="1"/>
      <c r="CQ15" s="4"/>
      <c r="CR15" s="1"/>
      <c r="CS15" s="4"/>
      <c r="CT15" s="1"/>
      <c r="CU15" s="4"/>
      <c r="CV15" s="1"/>
      <c r="CW15" s="11"/>
      <c r="CX15" s="4"/>
      <c r="CY15" s="1"/>
      <c r="CZ15" s="4"/>
      <c r="DA15" s="1"/>
      <c r="DB15" s="4"/>
      <c r="DC15" s="1"/>
      <c r="DD15" s="4"/>
      <c r="DE15" s="1"/>
      <c r="DF15" s="11">
        <f>+(0.0333*67)*9+67</f>
        <v>87.079900000000009</v>
      </c>
      <c r="DG15" s="4">
        <f>102.78-2.78*9</f>
        <v>77.760000000000005</v>
      </c>
      <c r="DH15" s="1">
        <v>60</v>
      </c>
      <c r="DI15" s="4">
        <f>102.78-2.78*9</f>
        <v>77.760000000000005</v>
      </c>
      <c r="DJ15" s="1">
        <v>10</v>
      </c>
      <c r="DK15" s="4">
        <f>102.78-2.78*19</f>
        <v>49.960000000000008</v>
      </c>
      <c r="DL15" s="1">
        <v>10</v>
      </c>
      <c r="DM15" s="4">
        <f>102.78-2.78*9</f>
        <v>77.760000000000005</v>
      </c>
      <c r="DN15" s="1"/>
      <c r="DO15" s="11"/>
      <c r="DP15" s="4"/>
      <c r="DQ15" s="1"/>
      <c r="DR15" s="4"/>
      <c r="DS15" s="1"/>
      <c r="DT15" s="4"/>
      <c r="DU15" s="1"/>
      <c r="DV15" s="4"/>
      <c r="DW15" s="1"/>
      <c r="DX15" s="11"/>
      <c r="DY15" s="4"/>
      <c r="DZ15" s="1"/>
      <c r="EA15" s="4"/>
      <c r="EB15" s="1"/>
      <c r="EC15" s="4"/>
      <c r="ED15" s="1"/>
      <c r="EE15" s="4"/>
      <c r="EF15" s="1"/>
      <c r="EG15" s="11"/>
      <c r="EH15" s="4"/>
      <c r="EI15" s="1"/>
      <c r="EJ15" s="4"/>
      <c r="EK15" s="1"/>
      <c r="EL15" s="4"/>
      <c r="EM15" s="1"/>
      <c r="EN15" s="4"/>
      <c r="EO15" s="1"/>
      <c r="EP15" s="11"/>
      <c r="EQ15" s="11" t="s">
        <v>76</v>
      </c>
      <c r="ER15" s="4">
        <v>120</v>
      </c>
      <c r="ES15" s="1">
        <v>52.195670297415127</v>
      </c>
    </row>
    <row r="16" spans="1:149" s="3" customFormat="1" x14ac:dyDescent="0.3">
      <c r="A16" s="18" t="s">
        <v>59</v>
      </c>
      <c r="B16" s="11">
        <f t="shared" ref="B16" si="21">+(0.0333*17)*8+17</f>
        <v>21.5288</v>
      </c>
      <c r="C16" s="4">
        <f t="shared" ref="C16" si="22">102.78-2.78*8</f>
        <v>80.540000000000006</v>
      </c>
      <c r="D16" s="1">
        <v>10</v>
      </c>
      <c r="E16" s="4">
        <f>102.78-2.78*6</f>
        <v>86.1</v>
      </c>
      <c r="F16" s="1">
        <v>5</v>
      </c>
      <c r="G16" s="4">
        <f>102.78-2.78*12</f>
        <v>69.42</v>
      </c>
      <c r="H16" s="1">
        <v>0</v>
      </c>
      <c r="I16" s="4">
        <f>102.78-2.78*6</f>
        <v>86.1</v>
      </c>
      <c r="J16" s="1">
        <v>10</v>
      </c>
      <c r="K16" s="11">
        <f>+(0.0333*17)*7+17</f>
        <v>20.962700000000002</v>
      </c>
      <c r="L16" s="4">
        <f>102.78-2.78*7</f>
        <v>83.320000000000007</v>
      </c>
      <c r="M16" s="1">
        <v>10</v>
      </c>
      <c r="N16" s="4">
        <f>102.78-2.78*7</f>
        <v>83.320000000000007</v>
      </c>
      <c r="O16" s="1">
        <v>5</v>
      </c>
      <c r="P16" s="4">
        <f>102.78-2.78*8</f>
        <v>80.540000000000006</v>
      </c>
      <c r="Q16" s="1">
        <v>0</v>
      </c>
      <c r="R16" s="4">
        <f>102.78-2.78*8</f>
        <v>80.540000000000006</v>
      </c>
      <c r="S16" s="1">
        <v>10</v>
      </c>
      <c r="T16" s="11">
        <f>+(0.0333*17)*8+17</f>
        <v>21.5288</v>
      </c>
      <c r="U16" s="4">
        <f>102.78-2.78*8</f>
        <v>80.540000000000006</v>
      </c>
      <c r="V16" s="1">
        <v>10</v>
      </c>
      <c r="W16" s="4">
        <f>102.78-2.78*7</f>
        <v>83.320000000000007</v>
      </c>
      <c r="X16" s="1">
        <v>5</v>
      </c>
      <c r="Y16" s="4">
        <f>102.78-2.78*8</f>
        <v>80.540000000000006</v>
      </c>
      <c r="Z16" s="1">
        <v>0</v>
      </c>
      <c r="AA16" s="4">
        <f>102.78-2.78*8</f>
        <v>80.540000000000006</v>
      </c>
      <c r="AB16" s="1">
        <v>10</v>
      </c>
      <c r="AC16" s="11">
        <f>+(0.0333*17)*7+17</f>
        <v>20.962700000000002</v>
      </c>
      <c r="AD16" s="4">
        <f>102.78-2.78*7</f>
        <v>83.320000000000007</v>
      </c>
      <c r="AE16" s="1">
        <v>10</v>
      </c>
      <c r="AF16" s="4">
        <f>102.78-2.78*8</f>
        <v>80.540000000000006</v>
      </c>
      <c r="AG16" s="1">
        <v>5</v>
      </c>
      <c r="AH16" s="4">
        <f>102.78-2.78*6</f>
        <v>86.1</v>
      </c>
      <c r="AI16" s="1">
        <v>0</v>
      </c>
      <c r="AJ16" s="4">
        <f>102.78-2.78*8</f>
        <v>80.540000000000006</v>
      </c>
      <c r="AK16" s="1">
        <v>10</v>
      </c>
      <c r="AL16" s="11">
        <f>+(0.0333*27)*27</f>
        <v>24.275700000000004</v>
      </c>
      <c r="AM16" s="4">
        <f>102.78-2.78*8</f>
        <v>80.540000000000006</v>
      </c>
      <c r="AN16" s="1">
        <v>10</v>
      </c>
      <c r="AO16" s="4">
        <f>102.78-2.78*8</f>
        <v>80.540000000000006</v>
      </c>
      <c r="AP16" s="1">
        <v>5</v>
      </c>
      <c r="AQ16" s="4">
        <f>102.78-2.78*8</f>
        <v>80.540000000000006</v>
      </c>
      <c r="AR16" s="1">
        <v>0</v>
      </c>
      <c r="AS16" s="4">
        <f>102.78-2.78*8</f>
        <v>80.540000000000006</v>
      </c>
      <c r="AT16" s="1">
        <v>10</v>
      </c>
      <c r="AU16" s="11"/>
      <c r="AV16" s="4"/>
      <c r="AW16" s="1"/>
      <c r="AX16" s="4"/>
      <c r="AY16" s="1"/>
      <c r="AZ16" s="4"/>
      <c r="BA16" s="1"/>
      <c r="BB16" s="4"/>
      <c r="BC16" s="1"/>
      <c r="BD16" s="11">
        <f>+(0.0333*17)*8+17</f>
        <v>21.5288</v>
      </c>
      <c r="BE16" s="4">
        <f>102.78-2.78*8</f>
        <v>80.540000000000006</v>
      </c>
      <c r="BF16" s="1">
        <v>10</v>
      </c>
      <c r="BG16" s="4">
        <f>102.78-2.78*8</f>
        <v>80.540000000000006</v>
      </c>
      <c r="BH16" s="1">
        <v>5</v>
      </c>
      <c r="BI16" s="4">
        <f>102.78-2.78*8</f>
        <v>80.540000000000006</v>
      </c>
      <c r="BJ16" s="1">
        <v>0</v>
      </c>
      <c r="BK16" s="4">
        <f>102.78-2.78*7</f>
        <v>83.320000000000007</v>
      </c>
      <c r="BL16" s="1"/>
      <c r="BM16" s="11"/>
      <c r="BN16" s="4"/>
      <c r="BO16" s="1"/>
      <c r="BP16" s="4"/>
      <c r="BQ16" s="1"/>
      <c r="BR16" s="4"/>
      <c r="BS16" s="1"/>
      <c r="BT16" s="4"/>
      <c r="BU16" s="1"/>
      <c r="BV16" s="11"/>
      <c r="BW16" s="4"/>
      <c r="BX16" s="1"/>
      <c r="BY16" s="4"/>
      <c r="BZ16" s="1"/>
      <c r="CA16" s="4"/>
      <c r="CB16" s="1"/>
      <c r="CC16" s="4"/>
      <c r="CD16" s="1"/>
      <c r="CE16" s="11"/>
      <c r="CF16" s="4"/>
      <c r="CG16" s="1"/>
      <c r="CH16" s="4"/>
      <c r="CI16" s="1"/>
      <c r="CJ16" s="4"/>
      <c r="CK16" s="1"/>
      <c r="CL16" s="4"/>
      <c r="CM16" s="1"/>
      <c r="CN16" s="11">
        <f>+(0.0333*27)*8+27</f>
        <v>34.192799999999998</v>
      </c>
      <c r="CO16" s="4">
        <f>102.78-2.78*8</f>
        <v>80.540000000000006</v>
      </c>
      <c r="CP16" s="1">
        <v>20</v>
      </c>
      <c r="CQ16" s="4">
        <f>102.78-2.78*8</f>
        <v>80.540000000000006</v>
      </c>
      <c r="CR16" s="1">
        <v>5</v>
      </c>
      <c r="CS16" s="4">
        <f>102.78-2.78*8</f>
        <v>80.540000000000006</v>
      </c>
      <c r="CT16" s="1">
        <v>5</v>
      </c>
      <c r="CU16" s="4">
        <f>102.78-2.78*8</f>
        <v>80.540000000000006</v>
      </c>
      <c r="CV16" s="1">
        <v>10</v>
      </c>
      <c r="CW16" s="11">
        <f>+(0.0333*27)*8+27</f>
        <v>34.192799999999998</v>
      </c>
      <c r="CX16" s="4">
        <f>102.78-2.78*8</f>
        <v>80.540000000000006</v>
      </c>
      <c r="CY16" s="1">
        <v>20</v>
      </c>
      <c r="CZ16" s="4">
        <f>102.78-2.78*8</f>
        <v>80.540000000000006</v>
      </c>
      <c r="DA16" s="1">
        <v>5</v>
      </c>
      <c r="DB16" s="4">
        <f>102.78-2.78*8</f>
        <v>80.540000000000006</v>
      </c>
      <c r="DC16" s="1">
        <v>5</v>
      </c>
      <c r="DD16" s="4">
        <f>102.78-2.78*8</f>
        <v>80.540000000000006</v>
      </c>
      <c r="DE16" s="1">
        <v>10</v>
      </c>
      <c r="DF16" s="11">
        <f>+(0.0333*37)*8+37</f>
        <v>46.8568</v>
      </c>
      <c r="DG16" s="4">
        <f>102.78-2.78*8</f>
        <v>80.540000000000006</v>
      </c>
      <c r="DH16" s="1">
        <v>20</v>
      </c>
      <c r="DI16" s="4">
        <f>102.78-2.78*8</f>
        <v>80.540000000000006</v>
      </c>
      <c r="DJ16" s="1">
        <v>5</v>
      </c>
      <c r="DK16" s="4">
        <f>102.78-2.78*8</f>
        <v>80.540000000000006</v>
      </c>
      <c r="DL16" s="1">
        <v>5</v>
      </c>
      <c r="DM16" s="4">
        <f>102.78-2.78*8</f>
        <v>80.540000000000006</v>
      </c>
      <c r="DN16" s="1">
        <v>20</v>
      </c>
      <c r="DO16" s="11"/>
      <c r="DP16" s="4"/>
      <c r="DQ16" s="1"/>
      <c r="DR16" s="4"/>
      <c r="DS16" s="1"/>
      <c r="DT16" s="4"/>
      <c r="DU16" s="1"/>
      <c r="DV16" s="4"/>
      <c r="DW16" s="1"/>
      <c r="DX16" s="11">
        <f>+(0.0333*37)*8+37</f>
        <v>46.8568</v>
      </c>
      <c r="DY16" s="4">
        <f>102.78-2.78*8</f>
        <v>80.540000000000006</v>
      </c>
      <c r="DZ16" s="1">
        <v>30</v>
      </c>
      <c r="EA16" s="4">
        <f>102.78-2.78*8</f>
        <v>80.540000000000006</v>
      </c>
      <c r="EB16" s="1">
        <v>5</v>
      </c>
      <c r="EC16" s="4">
        <f>102.78-2.78*9</f>
        <v>77.760000000000005</v>
      </c>
      <c r="ED16" s="1">
        <v>5</v>
      </c>
      <c r="EE16" s="4">
        <f>102.78-2.78*8</f>
        <v>80.540000000000006</v>
      </c>
      <c r="EF16" s="1">
        <v>20</v>
      </c>
      <c r="EG16" s="11">
        <f>+(0.0333*37)*8+37</f>
        <v>46.8568</v>
      </c>
      <c r="EH16" s="4">
        <f>102.78-2.78*8</f>
        <v>80.540000000000006</v>
      </c>
      <c r="EI16" s="1">
        <v>30</v>
      </c>
      <c r="EJ16" s="4">
        <f>102.78-2.78*8</f>
        <v>80.540000000000006</v>
      </c>
      <c r="EK16" s="1">
        <v>5</v>
      </c>
      <c r="EL16" s="4">
        <f>102.78-2.78*8</f>
        <v>80.540000000000006</v>
      </c>
      <c r="EM16" s="1">
        <v>5</v>
      </c>
      <c r="EN16" s="4">
        <f>102.78-2.78*8</f>
        <v>80.540000000000006</v>
      </c>
      <c r="EO16" s="1">
        <v>20</v>
      </c>
      <c r="EP16" s="11">
        <f>+(0.0333*37)*8+37</f>
        <v>46.8568</v>
      </c>
      <c r="EQ16" s="11" t="s">
        <v>76</v>
      </c>
      <c r="ER16" s="4">
        <f>102.78-2.78*8</f>
        <v>80.540000000000006</v>
      </c>
      <c r="ES16" s="1">
        <v>51.134520538411728</v>
      </c>
    </row>
    <row r="17" spans="1:149" s="3" customFormat="1" x14ac:dyDescent="0.3">
      <c r="A17" s="18" t="s">
        <v>60</v>
      </c>
      <c r="B17" s="11">
        <f>+(0.0333*17)*12+17</f>
        <v>23.793199999999999</v>
      </c>
      <c r="C17" s="4">
        <f>102.78-2.78*12</f>
        <v>69.42</v>
      </c>
      <c r="D17" s="1">
        <v>10</v>
      </c>
      <c r="E17" s="4">
        <f>102.78-2.78*8</f>
        <v>80.540000000000006</v>
      </c>
      <c r="F17" s="1">
        <v>5</v>
      </c>
      <c r="G17" s="4">
        <f>102.78-2.78*14</f>
        <v>63.860000000000007</v>
      </c>
      <c r="H17" s="1">
        <v>0</v>
      </c>
      <c r="I17" s="4">
        <f>102.78-2.78*9</f>
        <v>77.760000000000005</v>
      </c>
      <c r="J17" s="1">
        <v>10</v>
      </c>
      <c r="K17" s="11">
        <f>+(0.0333*17)*10+17</f>
        <v>22.661000000000001</v>
      </c>
      <c r="L17" s="4">
        <f>102.78-2.78*10</f>
        <v>74.98</v>
      </c>
      <c r="M17" s="1">
        <v>10</v>
      </c>
      <c r="N17" s="4">
        <f>102.78-2.78*8</f>
        <v>80.540000000000006</v>
      </c>
      <c r="O17" s="1">
        <v>5</v>
      </c>
      <c r="P17" s="4">
        <f>102.78-2.78*12</f>
        <v>69.42</v>
      </c>
      <c r="Q17" s="1">
        <v>0</v>
      </c>
      <c r="R17" s="4">
        <f>102.78-2.78*8</f>
        <v>80.540000000000006</v>
      </c>
      <c r="S17" s="1">
        <v>10</v>
      </c>
      <c r="T17" s="11">
        <f>+(0.0333*17)*9+17</f>
        <v>22.094900000000003</v>
      </c>
      <c r="U17" s="4">
        <f>102.78-2.78*9</f>
        <v>77.760000000000005</v>
      </c>
      <c r="V17" s="1">
        <v>10</v>
      </c>
      <c r="W17" s="4">
        <f>102.78-2.78*8</f>
        <v>80.540000000000006</v>
      </c>
      <c r="X17" s="1">
        <v>5</v>
      </c>
      <c r="Y17" s="4">
        <f>102.78-2.78*8</f>
        <v>80.540000000000006</v>
      </c>
      <c r="Z17" s="1">
        <v>0</v>
      </c>
      <c r="AA17" s="4">
        <f>102.78-2.78*8</f>
        <v>80.540000000000006</v>
      </c>
      <c r="AB17" s="1">
        <v>10</v>
      </c>
      <c r="AC17" s="11">
        <f>+(0.0333*17)*8+17</f>
        <v>21.5288</v>
      </c>
      <c r="AD17" s="4">
        <f>102.78-2.78*8</f>
        <v>80.540000000000006</v>
      </c>
      <c r="AE17" s="1">
        <v>10</v>
      </c>
      <c r="AF17" s="4"/>
      <c r="AG17" s="1">
        <v>5</v>
      </c>
      <c r="AH17" s="4">
        <f>102.78-2.78*8</f>
        <v>80.540000000000006</v>
      </c>
      <c r="AI17" s="1">
        <v>0</v>
      </c>
      <c r="AJ17" s="4">
        <f>102.78-2.78*8</f>
        <v>80.540000000000006</v>
      </c>
      <c r="AK17" s="1">
        <v>10</v>
      </c>
      <c r="AL17" s="11">
        <f>+(0.0333*17)*9+17</f>
        <v>22.094900000000003</v>
      </c>
      <c r="AM17" s="4">
        <f>102.78-2.78*9</f>
        <v>77.760000000000005</v>
      </c>
      <c r="AN17" s="1">
        <v>10</v>
      </c>
      <c r="AO17" s="4">
        <f>102.78-2.78*9</f>
        <v>77.760000000000005</v>
      </c>
      <c r="AP17" s="1">
        <v>5</v>
      </c>
      <c r="AQ17" s="4">
        <f>102.78-2.78*8</f>
        <v>80.540000000000006</v>
      </c>
      <c r="AR17" s="1">
        <v>0</v>
      </c>
      <c r="AS17" s="4">
        <f>102.78-2.78*8</f>
        <v>80.540000000000006</v>
      </c>
      <c r="AT17" s="1">
        <v>10</v>
      </c>
      <c r="AU17" s="11">
        <f t="shared" ref="AU17:AU22" si="23">+(0.0333*27)*8+27</f>
        <v>34.192799999999998</v>
      </c>
      <c r="AV17" s="4">
        <f>102.78-2.78*9</f>
        <v>77.760000000000005</v>
      </c>
      <c r="AW17" s="1">
        <v>20</v>
      </c>
      <c r="AX17" s="4">
        <f>102.78-2.78*8</f>
        <v>80.540000000000006</v>
      </c>
      <c r="AY17" s="1">
        <v>5</v>
      </c>
      <c r="AZ17" s="4">
        <f>102.78-2.78*8</f>
        <v>80.540000000000006</v>
      </c>
      <c r="BA17" s="1">
        <v>0</v>
      </c>
      <c r="BB17" s="4">
        <f>102.78-2.78*8</f>
        <v>80.540000000000006</v>
      </c>
      <c r="BC17" s="1">
        <v>10</v>
      </c>
      <c r="BD17" s="11">
        <f t="shared" ref="BD17" si="24">+(0.0333*27)*8+27</f>
        <v>34.192799999999998</v>
      </c>
      <c r="BE17" s="4">
        <f>102.78-2.78*9</f>
        <v>77.760000000000005</v>
      </c>
      <c r="BF17" s="1">
        <v>20</v>
      </c>
      <c r="BG17" s="4">
        <f>102.78-2.78*8</f>
        <v>80.540000000000006</v>
      </c>
      <c r="BH17" s="1">
        <v>5</v>
      </c>
      <c r="BI17" s="4">
        <f>102.78-2.78*8</f>
        <v>80.540000000000006</v>
      </c>
      <c r="BJ17" s="1">
        <v>0</v>
      </c>
      <c r="BK17" s="4">
        <f>102.78-2.78*8</f>
        <v>80.540000000000006</v>
      </c>
      <c r="BL17" s="1">
        <v>10</v>
      </c>
      <c r="BM17" s="11">
        <f t="shared" ref="BM17" si="25">+(0.0333*27)*8+27</f>
        <v>34.192799999999998</v>
      </c>
      <c r="BN17" s="4">
        <f>102.78-2.78*8</f>
        <v>80.540000000000006</v>
      </c>
      <c r="BO17" s="1">
        <v>20</v>
      </c>
      <c r="BP17" s="4">
        <f>102.78-2.78*10</f>
        <v>74.98</v>
      </c>
      <c r="BQ17" s="1">
        <v>5</v>
      </c>
      <c r="BR17" s="4">
        <f>102.78-2.78*10</f>
        <v>74.98</v>
      </c>
      <c r="BS17" s="1">
        <v>0</v>
      </c>
      <c r="BT17" s="4">
        <f>102.78-2.78*9</f>
        <v>77.760000000000005</v>
      </c>
      <c r="BU17" s="1">
        <v>10</v>
      </c>
      <c r="BV17" s="11">
        <f t="shared" ref="BV17" si="26">+(0.0333*27)*8+27</f>
        <v>34.192799999999998</v>
      </c>
      <c r="BW17" s="4">
        <f>102.78-2.78*8</f>
        <v>80.540000000000006</v>
      </c>
      <c r="BX17" s="1">
        <v>20</v>
      </c>
      <c r="BY17" s="4">
        <f>102.78-2.78*8</f>
        <v>80.540000000000006</v>
      </c>
      <c r="BZ17" s="1">
        <v>5</v>
      </c>
      <c r="CA17" s="4">
        <f>102.78-2.78*8</f>
        <v>80.540000000000006</v>
      </c>
      <c r="CB17" s="1">
        <v>0</v>
      </c>
      <c r="CC17" s="4">
        <f>102.78-2.78*7</f>
        <v>83.320000000000007</v>
      </c>
      <c r="CD17" s="1">
        <v>10</v>
      </c>
      <c r="CE17" s="11">
        <f t="shared" ref="CE17" si="27">+(0.0333*27)*8+27</f>
        <v>34.192799999999998</v>
      </c>
      <c r="CF17" s="4">
        <f>102.78-2.78*8</f>
        <v>80.540000000000006</v>
      </c>
      <c r="CG17" s="1">
        <v>20</v>
      </c>
      <c r="CH17" s="4">
        <f>102.78-2.78*9</f>
        <v>77.760000000000005</v>
      </c>
      <c r="CI17" s="1">
        <v>5</v>
      </c>
      <c r="CJ17" s="4">
        <f>102.78-2.78*8</f>
        <v>80.540000000000006</v>
      </c>
      <c r="CK17" s="1">
        <v>0</v>
      </c>
      <c r="CL17" s="4">
        <f>102.78-2.78*7</f>
        <v>83.320000000000007</v>
      </c>
      <c r="CM17" s="1">
        <v>10</v>
      </c>
      <c r="CN17" s="11">
        <f>+(0.0333*27)*9+27</f>
        <v>35.091900000000003</v>
      </c>
      <c r="CO17" s="4">
        <f>102.78-2.78*9</f>
        <v>77.760000000000005</v>
      </c>
      <c r="CP17" s="1">
        <v>20</v>
      </c>
      <c r="CQ17" s="4">
        <f>102.78-2.78*9</f>
        <v>77.760000000000005</v>
      </c>
      <c r="CR17" s="1">
        <v>5</v>
      </c>
      <c r="CS17" s="4">
        <f>102.78-2.78*9</f>
        <v>77.760000000000005</v>
      </c>
      <c r="CT17" s="1">
        <v>5</v>
      </c>
      <c r="CU17" s="4">
        <f>102.78-2.78*8</f>
        <v>80.540000000000006</v>
      </c>
      <c r="CV17" s="1">
        <v>10</v>
      </c>
      <c r="CW17" s="11">
        <f>+(0.0333*27)*9+27</f>
        <v>35.091900000000003</v>
      </c>
      <c r="CX17" s="4">
        <f>102.78-2.78*9</f>
        <v>77.760000000000005</v>
      </c>
      <c r="CY17" s="1">
        <v>20</v>
      </c>
      <c r="CZ17" s="4">
        <f>102.78-2.78*9</f>
        <v>77.760000000000005</v>
      </c>
      <c r="DA17" s="1">
        <v>5</v>
      </c>
      <c r="DB17" s="4">
        <f>102.78-2.78*9</f>
        <v>77.760000000000005</v>
      </c>
      <c r="DC17" s="1">
        <v>5</v>
      </c>
      <c r="DD17" s="4">
        <f>102.78-2.78*9</f>
        <v>77.760000000000005</v>
      </c>
      <c r="DE17" s="1">
        <v>10</v>
      </c>
      <c r="DF17" s="11">
        <f>+(0.0333*57)*8+57</f>
        <v>72.184799999999996</v>
      </c>
      <c r="DG17" s="4">
        <f>102.78-2.78*9</f>
        <v>77.760000000000005</v>
      </c>
      <c r="DH17" s="1">
        <v>50</v>
      </c>
      <c r="DI17" s="4">
        <f>102.78-2.78*9</f>
        <v>77.760000000000005</v>
      </c>
      <c r="DJ17" s="1">
        <v>5</v>
      </c>
      <c r="DK17" s="4"/>
      <c r="DL17" s="1">
        <v>7.5</v>
      </c>
      <c r="DM17" s="4">
        <f>102.78-2.78*9</f>
        <v>77.760000000000005</v>
      </c>
      <c r="DN17" s="1">
        <v>20</v>
      </c>
      <c r="DO17" s="11">
        <f>+(0.0333*57)*9+57</f>
        <v>74.082899999999995</v>
      </c>
      <c r="DP17" s="4">
        <f>102.78-2.78*9</f>
        <v>77.760000000000005</v>
      </c>
      <c r="DQ17" s="1">
        <v>50</v>
      </c>
      <c r="DR17" s="4">
        <f>102.78-2.78*8</f>
        <v>80.540000000000006</v>
      </c>
      <c r="DS17" s="1">
        <v>5</v>
      </c>
      <c r="DT17" s="4">
        <f>102.78-2.78*9</f>
        <v>77.760000000000005</v>
      </c>
      <c r="DU17" s="1">
        <v>7.5</v>
      </c>
      <c r="DV17" s="4">
        <f>102.78-2.78*8</f>
        <v>80.540000000000006</v>
      </c>
      <c r="DW17" s="1">
        <v>20</v>
      </c>
      <c r="DX17" s="11"/>
      <c r="DY17" s="4"/>
      <c r="DZ17" s="1"/>
      <c r="EA17" s="4"/>
      <c r="EB17" s="1"/>
      <c r="EC17" s="4"/>
      <c r="ED17" s="1"/>
      <c r="EE17" s="4"/>
      <c r="EF17" s="1"/>
      <c r="EG17" s="11">
        <f>+(0.0333*57)*9+57</f>
        <v>74.082899999999995</v>
      </c>
      <c r="EH17" s="4">
        <f>102.78-2.78*9</f>
        <v>77.760000000000005</v>
      </c>
      <c r="EI17" s="1">
        <v>50</v>
      </c>
      <c r="EJ17" s="4">
        <f>102.78-2.78*8</f>
        <v>80.540000000000006</v>
      </c>
      <c r="EK17" s="1">
        <v>5</v>
      </c>
      <c r="EL17" s="4">
        <f t="shared" ref="EL17" si="28">102.78-2.78*9</f>
        <v>77.760000000000005</v>
      </c>
      <c r="EM17" s="1">
        <v>7.5</v>
      </c>
      <c r="EN17" s="4">
        <f t="shared" ref="EN17:EN19" si="29">102.78-2.78*9</f>
        <v>77.760000000000005</v>
      </c>
      <c r="EO17" s="1">
        <v>20</v>
      </c>
      <c r="EP17" s="11"/>
      <c r="EQ17" s="11" t="s">
        <v>76</v>
      </c>
      <c r="ER17" s="4">
        <v>90</v>
      </c>
      <c r="ES17" s="1">
        <v>50.5</v>
      </c>
    </row>
    <row r="18" spans="1:149" s="3" customFormat="1" x14ac:dyDescent="0.3">
      <c r="A18" s="18" t="s">
        <v>61</v>
      </c>
      <c r="B18" s="11">
        <f>+(0.0333*17)*6+17</f>
        <v>20.396599999999999</v>
      </c>
      <c r="C18" s="4">
        <f>102.78-2.78*6</f>
        <v>86.1</v>
      </c>
      <c r="D18" s="1">
        <v>10</v>
      </c>
      <c r="E18" s="4">
        <f>102.78-2.78*9</f>
        <v>77.760000000000005</v>
      </c>
      <c r="F18" s="1">
        <v>5</v>
      </c>
      <c r="G18" s="4">
        <f>102.78-2.78*6</f>
        <v>86.1</v>
      </c>
      <c r="H18" s="1">
        <v>0</v>
      </c>
      <c r="I18" s="4">
        <f>102.78-2.78*7</f>
        <v>83.320000000000007</v>
      </c>
      <c r="J18" s="1">
        <v>10</v>
      </c>
      <c r="K18" s="11">
        <f>+(0.0333*17)*9+17</f>
        <v>22.094900000000003</v>
      </c>
      <c r="L18" s="4">
        <f t="shared" ref="L18" si="30">102.78-2.78*10</f>
        <v>74.98</v>
      </c>
      <c r="M18" s="1">
        <v>10</v>
      </c>
      <c r="N18" s="4">
        <f>102.78-2.78*8</f>
        <v>80.540000000000006</v>
      </c>
      <c r="O18" s="1">
        <v>5</v>
      </c>
      <c r="P18" s="4">
        <f>102.78-2.78*9</f>
        <v>77.760000000000005</v>
      </c>
      <c r="Q18" s="1">
        <v>0</v>
      </c>
      <c r="R18" s="4">
        <f>102.78-2.78*11</f>
        <v>72.2</v>
      </c>
      <c r="S18" s="1">
        <v>10</v>
      </c>
      <c r="T18" s="11">
        <f>+(0.0333*17)*9+17</f>
        <v>22.094900000000003</v>
      </c>
      <c r="U18" s="4">
        <f t="shared" ref="U18" si="31">102.78-2.78*10</f>
        <v>74.98</v>
      </c>
      <c r="V18" s="1">
        <v>10</v>
      </c>
      <c r="W18" s="4">
        <f>102.78-2.78*7</f>
        <v>83.320000000000007</v>
      </c>
      <c r="X18" s="1">
        <v>5</v>
      </c>
      <c r="Y18" s="4">
        <f>102.78-2.78*8</f>
        <v>80.540000000000006</v>
      </c>
      <c r="Z18" s="1">
        <v>0</v>
      </c>
      <c r="AA18" s="4">
        <f>102.78-2.78*9</f>
        <v>77.760000000000005</v>
      </c>
      <c r="AB18" s="1">
        <v>10</v>
      </c>
      <c r="AC18" s="11">
        <f>+(0.0333*17)*9+17</f>
        <v>22.094900000000003</v>
      </c>
      <c r="AD18" s="4">
        <f>102.78-2.78*9</f>
        <v>77.760000000000005</v>
      </c>
      <c r="AE18" s="1">
        <v>10</v>
      </c>
      <c r="AF18" s="4">
        <f>102.78-2.78*9</f>
        <v>77.760000000000005</v>
      </c>
      <c r="AG18" s="1">
        <v>5</v>
      </c>
      <c r="AH18" s="4">
        <f>102.78-2.78*9</f>
        <v>77.760000000000005</v>
      </c>
      <c r="AI18" s="1">
        <v>0</v>
      </c>
      <c r="AJ18" s="4">
        <f>102.78-2.78*9</f>
        <v>77.760000000000005</v>
      </c>
      <c r="AK18" s="1">
        <v>10</v>
      </c>
      <c r="AL18" s="11"/>
      <c r="AM18" s="4"/>
      <c r="AN18" s="1"/>
      <c r="AO18" s="4"/>
      <c r="AP18" s="1"/>
      <c r="AQ18" s="4"/>
      <c r="AR18" s="1"/>
      <c r="AS18" s="4"/>
      <c r="AT18" s="1">
        <v>10</v>
      </c>
      <c r="AU18" s="11"/>
      <c r="AV18" s="4"/>
      <c r="AW18" s="1">
        <v>20</v>
      </c>
      <c r="AX18" s="4"/>
      <c r="AY18" s="1"/>
      <c r="AZ18" s="4"/>
      <c r="BA18" s="1"/>
      <c r="BB18" s="4"/>
      <c r="BC18" s="1">
        <v>10</v>
      </c>
      <c r="BD18" s="11">
        <f>+(0.0333*17)*9+17</f>
        <v>22.094900000000003</v>
      </c>
      <c r="BE18" s="4">
        <f>102.78-2.78*9</f>
        <v>77.760000000000005</v>
      </c>
      <c r="BF18" s="1">
        <v>10</v>
      </c>
      <c r="BG18" s="4">
        <f>102.78-2.78*9</f>
        <v>77.760000000000005</v>
      </c>
      <c r="BH18" s="1">
        <v>5</v>
      </c>
      <c r="BI18" s="4">
        <f>102.78-2.78*9</f>
        <v>77.760000000000005</v>
      </c>
      <c r="BJ18" s="1">
        <v>0</v>
      </c>
      <c r="BK18" s="4">
        <f>102.78-2.78*9</f>
        <v>77.760000000000005</v>
      </c>
      <c r="BL18" s="1">
        <v>10</v>
      </c>
      <c r="BM18" s="11">
        <f>+(0.0333*27)*12+27</f>
        <v>37.789200000000001</v>
      </c>
      <c r="BN18" s="4">
        <f>102.78-2.78*12</f>
        <v>69.42</v>
      </c>
      <c r="BO18" s="1">
        <v>10</v>
      </c>
      <c r="BP18" s="4">
        <f>102.78-2.78*9</f>
        <v>77.760000000000005</v>
      </c>
      <c r="BQ18" s="1">
        <v>5</v>
      </c>
      <c r="BR18" s="4">
        <f>102.78-2.78*9</f>
        <v>77.760000000000005</v>
      </c>
      <c r="BS18" s="1">
        <v>0</v>
      </c>
      <c r="BT18" s="4">
        <f>102.78-2.78*11</f>
        <v>72.2</v>
      </c>
      <c r="BU18" s="1">
        <v>10</v>
      </c>
      <c r="BV18" s="11">
        <f>+(0.0333*47)*9+47</f>
        <v>61.085900000000002</v>
      </c>
      <c r="BW18" s="4">
        <f>102.78-2.78*12</f>
        <v>69.42</v>
      </c>
      <c r="BX18" s="1">
        <v>40</v>
      </c>
      <c r="BY18" s="4">
        <f>102.78-2.78*8</f>
        <v>80.540000000000006</v>
      </c>
      <c r="BZ18" s="1">
        <v>5</v>
      </c>
      <c r="CA18" s="4">
        <f>102.78-2.78*8</f>
        <v>80.540000000000006</v>
      </c>
      <c r="CB18" s="1">
        <v>5</v>
      </c>
      <c r="CC18" s="4">
        <f>102.78-2.78*8</f>
        <v>80.540000000000006</v>
      </c>
      <c r="CD18" s="1">
        <v>10</v>
      </c>
      <c r="CE18" s="11"/>
      <c r="CF18" s="4"/>
      <c r="CG18" s="1"/>
      <c r="CH18" s="4"/>
      <c r="CI18" s="1"/>
      <c r="CJ18" s="4"/>
      <c r="CK18" s="1"/>
      <c r="CL18" s="4"/>
      <c r="CM18" s="1"/>
      <c r="CN18" s="11">
        <f>+(0.0333*47)*8+47</f>
        <v>59.520800000000001</v>
      </c>
      <c r="CO18" s="4">
        <f>102.78-2.78*8</f>
        <v>80.540000000000006</v>
      </c>
      <c r="CP18" s="1"/>
      <c r="CQ18" s="4">
        <f>102.78-2.78*8</f>
        <v>80.540000000000006</v>
      </c>
      <c r="CR18" s="1"/>
      <c r="CS18" s="4">
        <f>102.78-2.78*9</f>
        <v>77.760000000000005</v>
      </c>
      <c r="CT18" s="1">
        <v>5</v>
      </c>
      <c r="CU18" s="4">
        <f>102.78-2.78*7</f>
        <v>83.320000000000007</v>
      </c>
      <c r="CV18" s="1"/>
      <c r="CW18" s="11">
        <f>+(0.0333*47)*8+47</f>
        <v>59.520800000000001</v>
      </c>
      <c r="CX18" s="4">
        <f>102.78-2.78*8</f>
        <v>80.540000000000006</v>
      </c>
      <c r="CY18" s="1">
        <v>40</v>
      </c>
      <c r="CZ18" s="4">
        <f>102.78-2.78*7</f>
        <v>83.320000000000007</v>
      </c>
      <c r="DA18" s="1"/>
      <c r="DB18" s="4">
        <f>102.78-2.78*7</f>
        <v>83.320000000000007</v>
      </c>
      <c r="DC18" s="1">
        <v>5</v>
      </c>
      <c r="DD18" s="4">
        <f>102.78-2.78*8</f>
        <v>80.540000000000006</v>
      </c>
      <c r="DE18" s="1"/>
      <c r="DF18" s="11">
        <f>+(0.0333*37)*9+37</f>
        <v>48.088900000000002</v>
      </c>
      <c r="DG18" s="4">
        <f>102.78-2.78*9</f>
        <v>77.760000000000005</v>
      </c>
      <c r="DH18" s="1">
        <v>40</v>
      </c>
      <c r="DI18" s="4">
        <f>102.78-2.78*9</f>
        <v>77.760000000000005</v>
      </c>
      <c r="DJ18" s="1">
        <v>5</v>
      </c>
      <c r="DK18" s="4">
        <f>102.78-2.78*8</f>
        <v>80.540000000000006</v>
      </c>
      <c r="DL18" s="1">
        <v>5</v>
      </c>
      <c r="DM18" s="4">
        <f>102.78-2.78*9</f>
        <v>77.760000000000005</v>
      </c>
      <c r="DN18" s="1">
        <v>20</v>
      </c>
      <c r="DO18" s="11">
        <f>+(0.0333*37)*10+37</f>
        <v>49.320999999999998</v>
      </c>
      <c r="DP18" s="4">
        <f>102.78-2.78*10</f>
        <v>74.98</v>
      </c>
      <c r="DQ18" s="1">
        <v>40</v>
      </c>
      <c r="DR18" s="4">
        <f>102.78-2.78*8</f>
        <v>80.540000000000006</v>
      </c>
      <c r="DS18" s="1">
        <v>5</v>
      </c>
      <c r="DT18" s="4">
        <f>102.78-2.78*8</f>
        <v>80.540000000000006</v>
      </c>
      <c r="DU18" s="1">
        <v>5</v>
      </c>
      <c r="DV18" s="4">
        <f>102.78-2.78*9</f>
        <v>77.760000000000005</v>
      </c>
      <c r="DW18" s="1">
        <v>20</v>
      </c>
      <c r="DX18" s="11"/>
      <c r="DY18" s="4"/>
      <c r="DZ18" s="1"/>
      <c r="EA18" s="4"/>
      <c r="EB18" s="1"/>
      <c r="EC18" s="4"/>
      <c r="ED18" s="1"/>
      <c r="EE18" s="4"/>
      <c r="EF18" s="1"/>
      <c r="EG18" s="11">
        <f>+(0.0333*57)*9+57</f>
        <v>74.082899999999995</v>
      </c>
      <c r="EH18" s="4">
        <f>102.78-2.78*9</f>
        <v>77.760000000000005</v>
      </c>
      <c r="EI18" s="1">
        <v>50</v>
      </c>
      <c r="EJ18" s="4">
        <f>102.78-2.78*8</f>
        <v>80.540000000000006</v>
      </c>
      <c r="EK18" s="1">
        <v>5</v>
      </c>
      <c r="EL18" s="4">
        <f>102.78-2.78*8</f>
        <v>80.540000000000006</v>
      </c>
      <c r="EM18" s="1">
        <v>7.5</v>
      </c>
      <c r="EN18" s="4">
        <f t="shared" si="29"/>
        <v>77.760000000000005</v>
      </c>
      <c r="EO18" s="1">
        <v>20</v>
      </c>
      <c r="EP18" s="11"/>
      <c r="EQ18" s="11" t="s">
        <v>76</v>
      </c>
      <c r="ER18" s="4">
        <v>80.540000000000006</v>
      </c>
      <c r="ES18" s="1">
        <v>52</v>
      </c>
    </row>
    <row r="19" spans="1:149" s="3" customFormat="1" x14ac:dyDescent="0.3">
      <c r="A19" s="18" t="s">
        <v>62</v>
      </c>
      <c r="B19" s="6"/>
      <c r="C19" s="6"/>
      <c r="D19" s="6"/>
      <c r="E19" s="6"/>
      <c r="F19" s="6"/>
      <c r="G19" s="6"/>
      <c r="H19" s="6"/>
      <c r="I19" s="6"/>
      <c r="J19" s="6"/>
      <c r="K19" s="11">
        <f>+(0.0333*17)*8+27</f>
        <v>31.5288</v>
      </c>
      <c r="L19" s="4">
        <f>102.78-2.78*8</f>
        <v>80.540000000000006</v>
      </c>
      <c r="M19" s="1">
        <v>20</v>
      </c>
      <c r="N19" s="4">
        <f>102.78-2.78*10</f>
        <v>74.98</v>
      </c>
      <c r="O19" s="1">
        <v>5</v>
      </c>
      <c r="P19" s="4">
        <f t="shared" ref="P19" si="32">102.78-2.78*6</f>
        <v>86.1</v>
      </c>
      <c r="Q19" s="1">
        <v>0</v>
      </c>
      <c r="R19" s="4">
        <f>102.78-2.78*8</f>
        <v>80.540000000000006</v>
      </c>
      <c r="S19" s="1">
        <v>10</v>
      </c>
      <c r="T19" s="11">
        <f>+(0.0333*17)*9+37</f>
        <v>42.094900000000003</v>
      </c>
      <c r="U19" s="4">
        <f>102.78-2.78*9</f>
        <v>77.760000000000005</v>
      </c>
      <c r="V19" s="1">
        <v>20</v>
      </c>
      <c r="W19" s="4">
        <f>102.78-2.78*8</f>
        <v>80.540000000000006</v>
      </c>
      <c r="X19" s="1">
        <v>5</v>
      </c>
      <c r="Y19" s="4">
        <f>102.78-2.78*8</f>
        <v>80.540000000000006</v>
      </c>
      <c r="Z19" s="1">
        <v>0</v>
      </c>
      <c r="AA19" s="4">
        <f>102.78-2.78*9</f>
        <v>77.760000000000005</v>
      </c>
      <c r="AB19" s="1">
        <v>10</v>
      </c>
      <c r="AC19" s="11">
        <f>+(0.0333*27)*9+27</f>
        <v>35.091900000000003</v>
      </c>
      <c r="AD19" s="4">
        <f>102.78-2.78*9</f>
        <v>77.760000000000005</v>
      </c>
      <c r="AE19" s="1">
        <v>20</v>
      </c>
      <c r="AF19" s="4">
        <f>102.78-2.78*9</f>
        <v>77.760000000000005</v>
      </c>
      <c r="AG19" s="1">
        <v>5</v>
      </c>
      <c r="AH19" s="4">
        <f>102.78-2.78*9</f>
        <v>77.760000000000005</v>
      </c>
      <c r="AI19" s="1">
        <v>0</v>
      </c>
      <c r="AJ19" s="4">
        <f>102.78-2.78*9</f>
        <v>77.760000000000005</v>
      </c>
      <c r="AK19" s="1">
        <v>10</v>
      </c>
      <c r="AL19" s="11">
        <f>+(0.0333*27)*8+27</f>
        <v>34.192799999999998</v>
      </c>
      <c r="AM19" s="4">
        <f>102.78-2.78*8</f>
        <v>80.540000000000006</v>
      </c>
      <c r="AN19" s="1">
        <v>20</v>
      </c>
      <c r="AO19" s="4">
        <f>102.78-2.78*9</f>
        <v>77.760000000000005</v>
      </c>
      <c r="AP19" s="1">
        <v>5</v>
      </c>
      <c r="AQ19" s="4">
        <f>102.78-2.78*9</f>
        <v>77.760000000000005</v>
      </c>
      <c r="AR19" s="1">
        <v>0</v>
      </c>
      <c r="AS19" s="4">
        <f>102.78-2.78*8</f>
        <v>80.540000000000006</v>
      </c>
      <c r="AT19" s="1">
        <v>10</v>
      </c>
      <c r="AU19" s="11">
        <f>+(0.0333*27)*9+27</f>
        <v>35.091900000000003</v>
      </c>
      <c r="AV19" s="4">
        <f>102.78-2.78*9</f>
        <v>77.760000000000005</v>
      </c>
      <c r="AW19" s="1">
        <v>20</v>
      </c>
      <c r="AX19" s="4">
        <f>102.78-2.78*9</f>
        <v>77.760000000000005</v>
      </c>
      <c r="AY19" s="1">
        <v>5</v>
      </c>
      <c r="AZ19" s="4">
        <f>102.78-2.78*9</f>
        <v>77.760000000000005</v>
      </c>
      <c r="BA19" s="1">
        <v>0</v>
      </c>
      <c r="BB19" s="4">
        <f>102.78-2.78*9</f>
        <v>77.760000000000005</v>
      </c>
      <c r="BC19" s="1">
        <v>10</v>
      </c>
      <c r="BD19" s="11">
        <f>+(0.0333*27)*9+27</f>
        <v>35.091900000000003</v>
      </c>
      <c r="BE19" s="4">
        <f>102.78-2.78*9</f>
        <v>77.760000000000005</v>
      </c>
      <c r="BF19" s="1">
        <v>20</v>
      </c>
      <c r="BG19" s="4">
        <f>102.78-2.78*8</f>
        <v>80.540000000000006</v>
      </c>
      <c r="BH19" s="1">
        <v>5</v>
      </c>
      <c r="BI19" s="4">
        <f>102.78-2.78*9</f>
        <v>77.760000000000005</v>
      </c>
      <c r="BJ19" s="1">
        <v>0</v>
      </c>
      <c r="BK19" s="4">
        <f>102.78-2.78*9</f>
        <v>77.760000000000005</v>
      </c>
      <c r="BL19" s="1">
        <v>10</v>
      </c>
      <c r="BM19" s="11"/>
      <c r="BN19" s="4"/>
      <c r="BO19" s="1"/>
      <c r="BP19" s="4"/>
      <c r="BQ19" s="1"/>
      <c r="BR19" s="4"/>
      <c r="BS19" s="1"/>
      <c r="BT19" s="4"/>
      <c r="BU19" s="1"/>
      <c r="BV19" s="11">
        <f>+(0.0333*47)*7+47</f>
        <v>57.9557</v>
      </c>
      <c r="BW19" s="4">
        <f>102.78-2.78*7</f>
        <v>83.320000000000007</v>
      </c>
      <c r="BX19" s="1">
        <v>40</v>
      </c>
      <c r="BY19" s="4">
        <f>102.78-2.78*9</f>
        <v>77.760000000000005</v>
      </c>
      <c r="BZ19" s="1">
        <v>5</v>
      </c>
      <c r="CA19" s="4">
        <f>102.78-2.78*9</f>
        <v>77.760000000000005</v>
      </c>
      <c r="CB19" s="1"/>
      <c r="CC19" s="4">
        <f>102.78-2.78*7</f>
        <v>83.320000000000007</v>
      </c>
      <c r="CD19" s="1"/>
      <c r="CE19" s="11">
        <f>+(0.0333*47)*7+47</f>
        <v>57.9557</v>
      </c>
      <c r="CF19" s="4">
        <f>102.78-2.78*7</f>
        <v>83.320000000000007</v>
      </c>
      <c r="CG19" s="1">
        <v>40</v>
      </c>
      <c r="CH19" s="4">
        <f>102.78-2.78*8</f>
        <v>80.540000000000006</v>
      </c>
      <c r="CI19" s="1">
        <v>5</v>
      </c>
      <c r="CJ19" s="4">
        <f>102.78-2.78*8</f>
        <v>80.540000000000006</v>
      </c>
      <c r="CK19" s="1">
        <v>5</v>
      </c>
      <c r="CL19" s="4">
        <f>102.78-2.78*7</f>
        <v>83.320000000000007</v>
      </c>
      <c r="CM19" s="1">
        <v>10</v>
      </c>
      <c r="CN19" s="11"/>
      <c r="CO19" s="4"/>
      <c r="CP19" s="1"/>
      <c r="CQ19" s="4"/>
      <c r="CR19" s="1"/>
      <c r="CS19" s="4"/>
      <c r="CT19" s="1"/>
      <c r="CU19" s="4"/>
      <c r="CV19" s="1"/>
      <c r="CW19" s="11">
        <f>+(0.0333*47)*8+47</f>
        <v>59.520800000000001</v>
      </c>
      <c r="CX19" s="4">
        <f>102.78-2.78*8</f>
        <v>80.540000000000006</v>
      </c>
      <c r="CY19" s="1">
        <v>40</v>
      </c>
      <c r="CZ19" s="4">
        <f>102.78-2.78*9</f>
        <v>77.760000000000005</v>
      </c>
      <c r="DA19" s="1"/>
      <c r="DB19" s="4">
        <f>102.78-2.78*8</f>
        <v>80.540000000000006</v>
      </c>
      <c r="DC19" s="1"/>
      <c r="DD19" s="4"/>
      <c r="DE19" s="1"/>
      <c r="DF19" s="11"/>
      <c r="DG19" s="4"/>
      <c r="DH19" s="1">
        <v>30</v>
      </c>
      <c r="DI19" s="4"/>
      <c r="DJ19" s="1"/>
      <c r="DK19" s="4"/>
      <c r="DL19" s="1"/>
      <c r="DM19" s="4"/>
      <c r="DN19" s="1"/>
      <c r="DO19" s="11">
        <f>+(0.0333*57)*7+57</f>
        <v>70.286699999999996</v>
      </c>
      <c r="DP19" s="4">
        <f>102.78-2.78*7</f>
        <v>83.320000000000007</v>
      </c>
      <c r="DQ19" s="1">
        <v>60</v>
      </c>
      <c r="DR19" s="4">
        <f>102.78-2.78*8</f>
        <v>80.540000000000006</v>
      </c>
      <c r="DS19" s="1">
        <v>10</v>
      </c>
      <c r="DT19" s="4">
        <f>102.78-2.78*8</f>
        <v>80.540000000000006</v>
      </c>
      <c r="DU19" s="1">
        <v>10</v>
      </c>
      <c r="DV19" s="4">
        <f>102.78-2.78*7</f>
        <v>83.320000000000007</v>
      </c>
      <c r="DW19" s="1">
        <v>20</v>
      </c>
      <c r="DX19" s="11"/>
      <c r="DY19" s="4"/>
      <c r="DZ19" s="1"/>
      <c r="EA19" s="4"/>
      <c r="EB19" s="1"/>
      <c r="EC19" s="4"/>
      <c r="ED19" s="1"/>
      <c r="EE19" s="4"/>
      <c r="EF19" s="1"/>
      <c r="EG19" s="11">
        <f>+(0.0333*57)*8+57</f>
        <v>72.184799999999996</v>
      </c>
      <c r="EH19" s="4">
        <f>102.78-2.78*8</f>
        <v>80.540000000000006</v>
      </c>
      <c r="EI19" s="1">
        <v>50</v>
      </c>
      <c r="EJ19" s="4">
        <f>102.78-2.78*8</f>
        <v>80.540000000000006</v>
      </c>
      <c r="EK19" s="1">
        <v>5</v>
      </c>
      <c r="EL19" s="4">
        <f>102.78-2.78*8</f>
        <v>80.540000000000006</v>
      </c>
      <c r="EM19" s="1">
        <v>7.5</v>
      </c>
      <c r="EN19" s="4">
        <f t="shared" si="29"/>
        <v>77.760000000000005</v>
      </c>
      <c r="EO19" s="1">
        <v>20</v>
      </c>
      <c r="EP19" s="11"/>
      <c r="EQ19" s="11" t="s">
        <v>76</v>
      </c>
      <c r="ER19" s="4">
        <v>80.540000000000006</v>
      </c>
      <c r="ES19" s="1">
        <v>56</v>
      </c>
    </row>
    <row r="20" spans="1:149" s="3" customFormat="1" x14ac:dyDescent="0.3">
      <c r="A20" s="18" t="s">
        <v>63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11">
        <f>+(0.0333*17)*8+17</f>
        <v>21.5288</v>
      </c>
      <c r="AD20" s="4">
        <f>102.78-2.78*8</f>
        <v>80.540000000000006</v>
      </c>
      <c r="AE20" s="1">
        <v>10</v>
      </c>
      <c r="AF20" s="4">
        <f>102.78-2.78*8</f>
        <v>80.540000000000006</v>
      </c>
      <c r="AG20" s="1">
        <v>5</v>
      </c>
      <c r="AH20" s="4">
        <f>102.78-2.78*8</f>
        <v>80.540000000000006</v>
      </c>
      <c r="AI20" s="1">
        <v>0</v>
      </c>
      <c r="AJ20" s="4"/>
      <c r="AK20" s="1">
        <v>10</v>
      </c>
      <c r="AL20" s="11">
        <f>+(0.0333*17)*8+17</f>
        <v>21.5288</v>
      </c>
      <c r="AM20" s="4">
        <f>102.78-2.78*8</f>
        <v>80.540000000000006</v>
      </c>
      <c r="AN20" s="1">
        <v>10</v>
      </c>
      <c r="AO20" s="4">
        <f>102.78-2.78*8</f>
        <v>80.540000000000006</v>
      </c>
      <c r="AP20" s="1">
        <v>5</v>
      </c>
      <c r="AQ20" s="4">
        <f>102.78-2.78*8</f>
        <v>80.540000000000006</v>
      </c>
      <c r="AR20" s="1">
        <v>0</v>
      </c>
      <c r="AS20" s="4">
        <f>102.78-2.78*6</f>
        <v>86.1</v>
      </c>
      <c r="AT20" s="1">
        <v>10</v>
      </c>
      <c r="AU20" s="11">
        <f t="shared" si="23"/>
        <v>34.192799999999998</v>
      </c>
      <c r="AV20" s="4">
        <f>102.78-2.78*8</f>
        <v>80.540000000000006</v>
      </c>
      <c r="AW20" s="1">
        <v>20</v>
      </c>
      <c r="AX20" s="4">
        <f>102.78-2.78*8</f>
        <v>80.540000000000006</v>
      </c>
      <c r="AY20" s="1">
        <v>5</v>
      </c>
      <c r="AZ20" s="4">
        <f>102.78-2.78*8</f>
        <v>80.540000000000006</v>
      </c>
      <c r="BA20" s="1">
        <v>0</v>
      </c>
      <c r="BB20" s="4">
        <f>102.78-2.78*9</f>
        <v>77.760000000000005</v>
      </c>
      <c r="BC20" s="1">
        <v>10</v>
      </c>
      <c r="BD20" s="11"/>
      <c r="BE20" s="4"/>
      <c r="BF20" s="1"/>
      <c r="BG20" s="4"/>
      <c r="BH20" s="1">
        <v>5</v>
      </c>
      <c r="BI20" s="4"/>
      <c r="BJ20" s="1">
        <v>0</v>
      </c>
      <c r="BK20" s="4"/>
      <c r="BL20" s="1">
        <v>10</v>
      </c>
      <c r="BM20" s="11">
        <f>+(0.0333*17)*8+17</f>
        <v>21.5288</v>
      </c>
      <c r="BN20" s="4">
        <f>102.78-2.78*8</f>
        <v>80.540000000000006</v>
      </c>
      <c r="BO20" s="1">
        <v>10</v>
      </c>
      <c r="BP20" s="4">
        <f>102.78-2.78*8</f>
        <v>80.540000000000006</v>
      </c>
      <c r="BQ20" s="1">
        <v>5</v>
      </c>
      <c r="BR20" s="4">
        <f>102.78-2.78*8</f>
        <v>80.540000000000006</v>
      </c>
      <c r="BS20" s="1">
        <v>0</v>
      </c>
      <c r="BT20" s="4">
        <f>102.78-2.78*8</f>
        <v>80.540000000000006</v>
      </c>
      <c r="BU20" s="1">
        <v>10</v>
      </c>
      <c r="BV20" s="11">
        <f>+(0.0333*27)*8+27</f>
        <v>34.192799999999998</v>
      </c>
      <c r="BW20" s="4">
        <f t="shared" ref="BW20:BW25" si="33">102.78-2.78*8</f>
        <v>80.540000000000006</v>
      </c>
      <c r="BX20" s="1">
        <v>20</v>
      </c>
      <c r="BY20" s="4">
        <f>102.78-2.78*8</f>
        <v>80.540000000000006</v>
      </c>
      <c r="BZ20" s="1">
        <v>5</v>
      </c>
      <c r="CA20" s="4">
        <f>102.78-2.78*6</f>
        <v>86.1</v>
      </c>
      <c r="CB20" s="1">
        <v>0</v>
      </c>
      <c r="CC20" s="4">
        <f>102.78-2.78*6</f>
        <v>86.1</v>
      </c>
      <c r="CD20" s="1">
        <v>10</v>
      </c>
      <c r="CE20" s="11">
        <f>+(0.0333*27)*8+27</f>
        <v>34.192799999999998</v>
      </c>
      <c r="CF20" s="4">
        <f t="shared" ref="CF20" si="34">102.78-2.78*8</f>
        <v>80.540000000000006</v>
      </c>
      <c r="CG20" s="1">
        <v>20</v>
      </c>
      <c r="CH20" s="4">
        <f>102.78-2.78*8</f>
        <v>80.540000000000006</v>
      </c>
      <c r="CI20" s="1">
        <v>5</v>
      </c>
      <c r="CJ20" s="4">
        <f>102.78-2.78*8</f>
        <v>80.540000000000006</v>
      </c>
      <c r="CK20" s="1">
        <v>0</v>
      </c>
      <c r="CL20" s="4">
        <f>102.78-2.78*8</f>
        <v>80.540000000000006</v>
      </c>
      <c r="CM20" s="1">
        <v>10</v>
      </c>
      <c r="CN20" s="11">
        <f>+(0.0333*27)*8+27</f>
        <v>34.192799999999998</v>
      </c>
      <c r="CO20" s="4">
        <f t="shared" ref="CO20" si="35">102.78-2.78*8</f>
        <v>80.540000000000006</v>
      </c>
      <c r="CP20" s="1">
        <v>20</v>
      </c>
      <c r="CQ20" s="4">
        <f>102.78-2.78*8</f>
        <v>80.540000000000006</v>
      </c>
      <c r="CR20" s="1">
        <v>5</v>
      </c>
      <c r="CS20" s="4">
        <f>102.78-2.78*8</f>
        <v>80.540000000000006</v>
      </c>
      <c r="CT20" s="1">
        <v>5</v>
      </c>
      <c r="CU20" s="4">
        <f>102.78-2.78*8</f>
        <v>80.540000000000006</v>
      </c>
      <c r="CV20" s="1">
        <v>10</v>
      </c>
      <c r="CW20" s="11">
        <f>+(0.0333*27)*8+27</f>
        <v>34.192799999999998</v>
      </c>
      <c r="CX20" s="4">
        <f t="shared" ref="CX20" si="36">102.78-2.78*8</f>
        <v>80.540000000000006</v>
      </c>
      <c r="CY20" s="1">
        <v>20</v>
      </c>
      <c r="CZ20" s="4">
        <f>102.78-2.78*8</f>
        <v>80.540000000000006</v>
      </c>
      <c r="DA20" s="1">
        <v>5</v>
      </c>
      <c r="DB20" s="4">
        <f>102.78-2.78*8</f>
        <v>80.540000000000006</v>
      </c>
      <c r="DC20" s="1">
        <v>5</v>
      </c>
      <c r="DD20" s="4">
        <f>102.78-2.78*8</f>
        <v>80.540000000000006</v>
      </c>
      <c r="DE20" s="1">
        <v>10</v>
      </c>
      <c r="DF20" s="11">
        <f>+(0.0333*37)*10+37</f>
        <v>49.320999999999998</v>
      </c>
      <c r="DG20" s="4">
        <f>102.78-2.78*10</f>
        <v>74.98</v>
      </c>
      <c r="DH20" s="1">
        <v>30</v>
      </c>
      <c r="DI20" s="4">
        <f>102.78-2.78*10</f>
        <v>74.98</v>
      </c>
      <c r="DJ20" s="1">
        <v>5</v>
      </c>
      <c r="DK20" s="4">
        <f>102.78-2.78*8</f>
        <v>80.540000000000006</v>
      </c>
      <c r="DL20" s="1">
        <v>5</v>
      </c>
      <c r="DM20" s="4">
        <f>102.78-2.78*10</f>
        <v>74.98</v>
      </c>
      <c r="DN20" s="1">
        <v>20</v>
      </c>
      <c r="DO20" s="11"/>
      <c r="DP20" s="4"/>
      <c r="DQ20" s="1"/>
      <c r="DR20" s="4"/>
      <c r="DS20" s="1"/>
      <c r="DT20" s="4"/>
      <c r="DU20" s="1"/>
      <c r="DV20" s="4"/>
      <c r="DW20" s="1"/>
      <c r="DX20" s="11"/>
      <c r="DY20" s="4"/>
      <c r="DZ20" s="1"/>
      <c r="EA20" s="4"/>
      <c r="EB20" s="1"/>
      <c r="EC20" s="4"/>
      <c r="ED20" s="1"/>
      <c r="EE20" s="4"/>
      <c r="EF20" s="1"/>
      <c r="EG20" s="11">
        <f t="shared" ref="EG20:EG21" si="37">+(0.0333*37)*8+37</f>
        <v>46.8568</v>
      </c>
      <c r="EH20" s="4">
        <f t="shared" ref="EH20:EH21" si="38">102.78-2.78*8</f>
        <v>80.540000000000006</v>
      </c>
      <c r="EI20" s="1">
        <v>30</v>
      </c>
      <c r="EJ20" s="4">
        <f t="shared" ref="EJ20" si="39">102.78-2.78*8</f>
        <v>80.540000000000006</v>
      </c>
      <c r="EK20" s="1">
        <v>5</v>
      </c>
      <c r="EL20" s="4">
        <f>102.78-2.78*10</f>
        <v>74.98</v>
      </c>
      <c r="EM20" s="1">
        <v>5</v>
      </c>
      <c r="EN20" s="4">
        <f t="shared" ref="EN20:EN21" si="40">102.78-2.78*8</f>
        <v>80.540000000000006</v>
      </c>
      <c r="EO20" s="1">
        <v>20</v>
      </c>
      <c r="EP20" s="11"/>
      <c r="EQ20" s="11" t="s">
        <v>76</v>
      </c>
      <c r="ER20" s="4">
        <v>82</v>
      </c>
      <c r="ES20" s="1">
        <v>51</v>
      </c>
    </row>
    <row r="21" spans="1:149" s="3" customFormat="1" x14ac:dyDescent="0.3">
      <c r="A21" s="9" t="s">
        <v>64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11">
        <f>+(0.0333*17)*7+17</f>
        <v>20.962700000000002</v>
      </c>
      <c r="AD21" s="4">
        <f>102.78-2.78*7</f>
        <v>83.320000000000007</v>
      </c>
      <c r="AE21" s="1">
        <v>10</v>
      </c>
      <c r="AF21" s="4">
        <f>102.78-2.78*8</f>
        <v>80.540000000000006</v>
      </c>
      <c r="AG21" s="1">
        <v>5</v>
      </c>
      <c r="AH21" s="4">
        <f>102.78-2.78*8</f>
        <v>80.540000000000006</v>
      </c>
      <c r="AI21" s="1">
        <v>0</v>
      </c>
      <c r="AJ21" s="4">
        <f>102.78-2.78*6</f>
        <v>86.1</v>
      </c>
      <c r="AK21" s="1">
        <v>10</v>
      </c>
      <c r="AL21" s="11">
        <f>+(0.0333*17)*8+17</f>
        <v>21.5288</v>
      </c>
      <c r="AM21" s="2">
        <f>102.78-2.78*8</f>
        <v>80.540000000000006</v>
      </c>
      <c r="AN21" s="1">
        <v>10</v>
      </c>
      <c r="AO21" s="4">
        <f>102.78-2.78*8</f>
        <v>80.540000000000006</v>
      </c>
      <c r="AP21" s="1">
        <v>5</v>
      </c>
      <c r="AQ21" s="4">
        <f>102.78-2.78*8</f>
        <v>80.540000000000006</v>
      </c>
      <c r="AR21" s="1">
        <v>0</v>
      </c>
      <c r="AS21" s="4">
        <f>102.78-2.78*8</f>
        <v>80.540000000000006</v>
      </c>
      <c r="AT21" s="1">
        <v>10</v>
      </c>
      <c r="AU21" s="11"/>
      <c r="AV21" s="2"/>
      <c r="AW21" s="1"/>
      <c r="AX21" s="4"/>
      <c r="AY21" s="1"/>
      <c r="AZ21" s="4"/>
      <c r="BA21" s="1"/>
      <c r="BB21" s="4"/>
      <c r="BC21" s="1"/>
      <c r="BD21" s="11"/>
      <c r="BE21" s="2"/>
      <c r="BF21" s="1"/>
      <c r="BG21" s="4"/>
      <c r="BH21" s="1"/>
      <c r="BI21" s="4"/>
      <c r="BJ21" s="1"/>
      <c r="BK21" s="4"/>
      <c r="BL21" s="1"/>
      <c r="BM21" s="11"/>
      <c r="BN21" s="2"/>
      <c r="BO21" s="1"/>
      <c r="BP21" s="4"/>
      <c r="BQ21" s="1"/>
      <c r="BR21" s="4"/>
      <c r="BS21" s="1"/>
      <c r="BT21" s="4"/>
      <c r="BU21" s="1"/>
      <c r="BV21" s="11">
        <f>+(0.0333*27)*8+27</f>
        <v>34.192799999999998</v>
      </c>
      <c r="BW21" s="4">
        <f t="shared" si="33"/>
        <v>80.540000000000006</v>
      </c>
      <c r="BX21" s="1">
        <v>20</v>
      </c>
      <c r="BY21" s="4">
        <f>102.78-2.78*8</f>
        <v>80.540000000000006</v>
      </c>
      <c r="BZ21" s="1">
        <v>5</v>
      </c>
      <c r="CA21" s="4">
        <f>102.78-2.78*8</f>
        <v>80.540000000000006</v>
      </c>
      <c r="CB21" s="1"/>
      <c r="CC21" s="4"/>
      <c r="CD21" s="1"/>
      <c r="CE21" s="11"/>
      <c r="CF21" s="4"/>
      <c r="CG21" s="1"/>
      <c r="CH21" s="4"/>
      <c r="CI21" s="1"/>
      <c r="CJ21" s="4"/>
      <c r="CK21" s="1"/>
      <c r="CL21" s="4"/>
      <c r="CM21" s="1"/>
      <c r="CN21" s="11"/>
      <c r="CO21" s="4"/>
      <c r="CP21" s="1"/>
      <c r="CQ21" s="4"/>
      <c r="CR21" s="1"/>
      <c r="CS21" s="4"/>
      <c r="CT21" s="1"/>
      <c r="CU21" s="4"/>
      <c r="CV21" s="1"/>
      <c r="CW21" s="11"/>
      <c r="CX21" s="4"/>
      <c r="CY21" s="1"/>
      <c r="CZ21" s="4"/>
      <c r="DA21" s="1"/>
      <c r="DB21" s="4"/>
      <c r="DC21" s="1"/>
      <c r="DD21" s="4"/>
      <c r="DE21" s="1"/>
      <c r="DF21" s="11"/>
      <c r="DG21" s="4"/>
      <c r="DH21" s="1"/>
      <c r="DI21" s="4"/>
      <c r="DJ21" s="1"/>
      <c r="DK21" s="4"/>
      <c r="DL21" s="1"/>
      <c r="DM21" s="4"/>
      <c r="DN21" s="1"/>
      <c r="DO21" s="11"/>
      <c r="DP21" s="4"/>
      <c r="DQ21" s="1"/>
      <c r="DR21" s="4"/>
      <c r="DS21" s="1"/>
      <c r="DT21" s="4"/>
      <c r="DU21" s="1"/>
      <c r="DV21" s="4"/>
      <c r="DW21" s="1"/>
      <c r="DX21" s="11"/>
      <c r="DY21" s="4"/>
      <c r="DZ21" s="1"/>
      <c r="EA21" s="4"/>
      <c r="EB21" s="1"/>
      <c r="EC21" s="4"/>
      <c r="ED21" s="1"/>
      <c r="EE21" s="4"/>
      <c r="EF21" s="1"/>
      <c r="EG21" s="11">
        <f t="shared" si="37"/>
        <v>46.8568</v>
      </c>
      <c r="EH21" s="4">
        <f t="shared" si="38"/>
        <v>80.540000000000006</v>
      </c>
      <c r="EI21" s="1">
        <v>30</v>
      </c>
      <c r="EJ21" s="4">
        <f>102.78-2.78*10</f>
        <v>74.98</v>
      </c>
      <c r="EK21" s="1">
        <v>5</v>
      </c>
      <c r="EL21" s="4">
        <f>102.78-2.78*8</f>
        <v>80.540000000000006</v>
      </c>
      <c r="EM21" s="1">
        <v>5</v>
      </c>
      <c r="EN21" s="4">
        <f t="shared" si="40"/>
        <v>80.540000000000006</v>
      </c>
      <c r="EO21" s="1">
        <v>20</v>
      </c>
      <c r="EP21" s="11"/>
      <c r="EQ21" s="11" t="s">
        <v>76</v>
      </c>
      <c r="ER21" s="4">
        <v>92</v>
      </c>
      <c r="ES21" s="1">
        <v>53.250985329037341</v>
      </c>
    </row>
    <row r="22" spans="1:149" s="3" customFormat="1" x14ac:dyDescent="0.3">
      <c r="A22" s="18" t="s">
        <v>65</v>
      </c>
      <c r="B22" s="18"/>
      <c r="C22" s="1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11">
        <f>+(0.0333*17)*10+17</f>
        <v>22.661000000000001</v>
      </c>
      <c r="AM22" s="2">
        <f>102.78-2.78*10</f>
        <v>74.98</v>
      </c>
      <c r="AN22" s="1">
        <v>10</v>
      </c>
      <c r="AO22" s="4">
        <f>102.78-2.78*10</f>
        <v>74.98</v>
      </c>
      <c r="AP22" s="1">
        <v>5</v>
      </c>
      <c r="AQ22" s="4">
        <f>102.78-2.78*12</f>
        <v>69.42</v>
      </c>
      <c r="AR22" s="1">
        <v>0</v>
      </c>
      <c r="AS22" s="4">
        <f>102.78-2.78*8</f>
        <v>80.540000000000006</v>
      </c>
      <c r="AT22" s="1">
        <v>10</v>
      </c>
      <c r="AU22" s="11">
        <f t="shared" si="23"/>
        <v>34.192799999999998</v>
      </c>
      <c r="AV22" s="2">
        <f>102.78-2.78*10</f>
        <v>74.98</v>
      </c>
      <c r="AW22" s="1">
        <v>20</v>
      </c>
      <c r="AX22" s="4">
        <f>102.78-2.78*10</f>
        <v>74.98</v>
      </c>
      <c r="AY22" s="1">
        <v>5</v>
      </c>
      <c r="AZ22" s="4">
        <f>102.78-2.78*9</f>
        <v>77.760000000000005</v>
      </c>
      <c r="BA22" s="1">
        <v>0</v>
      </c>
      <c r="BB22" s="4">
        <f>102.78-2.78*8</f>
        <v>80.540000000000006</v>
      </c>
      <c r="BC22" s="1">
        <v>10</v>
      </c>
      <c r="BD22" s="11"/>
      <c r="BE22" s="2"/>
      <c r="BF22" s="1"/>
      <c r="BG22" s="4"/>
      <c r="BH22" s="1"/>
      <c r="BI22" s="4"/>
      <c r="BJ22" s="1"/>
      <c r="BK22" s="4"/>
      <c r="BL22" s="1"/>
      <c r="BM22" s="11">
        <f>+(0.0333*17)*8+17</f>
        <v>21.5288</v>
      </c>
      <c r="BN22" s="2">
        <f>102.78-2.78*8</f>
        <v>80.540000000000006</v>
      </c>
      <c r="BO22" s="1">
        <v>10</v>
      </c>
      <c r="BP22" s="4">
        <f>102.78-2.78*8</f>
        <v>80.540000000000006</v>
      </c>
      <c r="BQ22" s="1"/>
      <c r="BR22" s="4">
        <f>102.78-2.78*8</f>
        <v>80.540000000000006</v>
      </c>
      <c r="BS22" s="1"/>
      <c r="BT22" s="4">
        <f>102.78-2.78*10</f>
        <v>74.98</v>
      </c>
      <c r="BU22" s="1"/>
      <c r="BV22" s="11">
        <f>+(0.0333*27)*8+27</f>
        <v>34.192799999999998</v>
      </c>
      <c r="BW22" s="4">
        <f t="shared" si="33"/>
        <v>80.540000000000006</v>
      </c>
      <c r="BX22" s="1">
        <v>20</v>
      </c>
      <c r="BY22" s="4">
        <f>102.78-2.78*10</f>
        <v>74.98</v>
      </c>
      <c r="BZ22" s="1">
        <v>5</v>
      </c>
      <c r="CA22" s="4">
        <f>102.78-2.78*10</f>
        <v>74.98</v>
      </c>
      <c r="CB22" s="1"/>
      <c r="CC22" s="4">
        <f>102.78-2.78*8</f>
        <v>80.540000000000006</v>
      </c>
      <c r="CD22" s="1"/>
      <c r="CE22" s="11">
        <f>+(0.0333*27)*9+27</f>
        <v>35.091900000000003</v>
      </c>
      <c r="CF22" s="4">
        <f>102.78-2.78*9</f>
        <v>77.760000000000005</v>
      </c>
      <c r="CG22" s="1">
        <v>20</v>
      </c>
      <c r="CH22" s="4">
        <f>102.78-2.78*10</f>
        <v>74.98</v>
      </c>
      <c r="CI22" s="1">
        <v>5</v>
      </c>
      <c r="CJ22" s="4">
        <f>102.78-2.78*8</f>
        <v>80.540000000000006</v>
      </c>
      <c r="CK22" s="1">
        <v>0</v>
      </c>
      <c r="CL22" s="4">
        <f>102.78-2.78*9</f>
        <v>77.760000000000005</v>
      </c>
      <c r="CM22" s="1">
        <v>10</v>
      </c>
      <c r="CN22" s="11">
        <f>+(0.0333*27)*11+27</f>
        <v>36.890100000000004</v>
      </c>
      <c r="CO22" s="4">
        <f>102.78-2.78*11</f>
        <v>72.2</v>
      </c>
      <c r="CP22" s="1">
        <v>20</v>
      </c>
      <c r="CQ22" s="4">
        <f>102.78-2.78*9</f>
        <v>77.760000000000005</v>
      </c>
      <c r="CR22" s="1">
        <v>5</v>
      </c>
      <c r="CS22" s="4">
        <f>102.78-2.78*9</f>
        <v>77.760000000000005</v>
      </c>
      <c r="CT22" s="1">
        <v>5</v>
      </c>
      <c r="CU22" s="4">
        <f>102.78-2.78*9</f>
        <v>77.760000000000005</v>
      </c>
      <c r="CV22" s="1">
        <v>10</v>
      </c>
      <c r="CW22" s="11">
        <f>+(0.0333*27)*9+27</f>
        <v>35.091900000000003</v>
      </c>
      <c r="CX22" s="4">
        <f>102.78-2.78*9</f>
        <v>77.760000000000005</v>
      </c>
      <c r="CY22" s="1">
        <v>20</v>
      </c>
      <c r="CZ22" s="4">
        <f>102.78-2.78*12</f>
        <v>69.42</v>
      </c>
      <c r="DA22" s="1">
        <v>5</v>
      </c>
      <c r="DB22" s="4">
        <f>102.78-2.78*10</f>
        <v>74.98</v>
      </c>
      <c r="DC22" s="1">
        <v>5</v>
      </c>
      <c r="DD22" s="4">
        <f>102.78-2.78*9</f>
        <v>77.760000000000005</v>
      </c>
      <c r="DE22" s="1">
        <v>10</v>
      </c>
      <c r="DF22" s="11">
        <f>+(0.0333*57)*9+57</f>
        <v>74.082899999999995</v>
      </c>
      <c r="DG22" s="4">
        <f>102.78-2.78*9</f>
        <v>77.760000000000005</v>
      </c>
      <c r="DH22" s="1">
        <v>50</v>
      </c>
      <c r="DI22" s="4">
        <f>102.78-2.78*9</f>
        <v>77.760000000000005</v>
      </c>
      <c r="DJ22" s="1">
        <v>5</v>
      </c>
      <c r="DK22" s="4">
        <f>102.78-2.78*9</f>
        <v>77.760000000000005</v>
      </c>
      <c r="DL22" s="1">
        <v>7.5</v>
      </c>
      <c r="DM22" s="4">
        <f>102.78-2.78*9</f>
        <v>77.760000000000005</v>
      </c>
      <c r="DN22" s="1">
        <v>20</v>
      </c>
      <c r="DO22" s="11">
        <f>+(0.0333*57)*7+57</f>
        <v>70.286699999999996</v>
      </c>
      <c r="DP22" s="4">
        <f>102.78-2.78*7</f>
        <v>83.320000000000007</v>
      </c>
      <c r="DQ22" s="1">
        <v>50</v>
      </c>
      <c r="DR22" s="4">
        <f>102.78-2.78*9</f>
        <v>77.760000000000005</v>
      </c>
      <c r="DS22" s="1">
        <v>5</v>
      </c>
      <c r="DT22" s="4">
        <f>102.78-2.78*9</f>
        <v>77.760000000000005</v>
      </c>
      <c r="DU22" s="1">
        <v>7.5</v>
      </c>
      <c r="DV22" s="4">
        <f>102.78-2.78*8</f>
        <v>80.540000000000006</v>
      </c>
      <c r="DW22" s="1">
        <v>20</v>
      </c>
      <c r="DX22" s="11">
        <f>+(0.0333*57)*10+57</f>
        <v>75.980999999999995</v>
      </c>
      <c r="DY22" s="4">
        <f>102.78-2.78*10</f>
        <v>74.98</v>
      </c>
      <c r="DZ22" s="1">
        <v>50</v>
      </c>
      <c r="EA22" s="4">
        <f>102.78-2.78*9</f>
        <v>77.760000000000005</v>
      </c>
      <c r="EB22" s="1">
        <v>5</v>
      </c>
      <c r="EC22" s="4">
        <f>102.78-2.78*9</f>
        <v>77.760000000000005</v>
      </c>
      <c r="ED22" s="1">
        <v>7.5</v>
      </c>
      <c r="EE22" s="4">
        <f>102.78-2.78*9</f>
        <v>77.760000000000005</v>
      </c>
      <c r="EF22" s="1">
        <v>20</v>
      </c>
      <c r="EG22" s="11"/>
      <c r="EH22" s="4"/>
      <c r="EI22" s="1"/>
      <c r="EJ22" s="4"/>
      <c r="EK22" s="1"/>
      <c r="EL22" s="4"/>
      <c r="EM22" s="1"/>
      <c r="EN22" s="4"/>
      <c r="EO22" s="1"/>
      <c r="EP22" s="11">
        <f>+(0.0333*57)*9+57</f>
        <v>74.082899999999995</v>
      </c>
      <c r="EQ22" s="11" t="s">
        <v>76</v>
      </c>
      <c r="ER22" s="4">
        <v>92</v>
      </c>
      <c r="ES22" s="1">
        <v>55</v>
      </c>
    </row>
    <row r="23" spans="1:149" s="3" customFormat="1" x14ac:dyDescent="0.3">
      <c r="A23" s="18" t="s">
        <v>66</v>
      </c>
      <c r="B23" s="18"/>
      <c r="C23" s="1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11">
        <f t="shared" ref="AL23" si="41">+(0.0333*17)*8+17</f>
        <v>21.5288</v>
      </c>
      <c r="AM23" s="2">
        <f>102.78-2.78*8</f>
        <v>80.540000000000006</v>
      </c>
      <c r="AN23" s="1">
        <v>10</v>
      </c>
      <c r="AO23" s="4">
        <f t="shared" ref="AO23" si="42">102.78-2.78*8</f>
        <v>80.540000000000006</v>
      </c>
      <c r="AP23" s="1">
        <v>5</v>
      </c>
      <c r="AQ23" s="4">
        <f t="shared" ref="AQ23" si="43">102.78-2.78*8</f>
        <v>80.540000000000006</v>
      </c>
      <c r="AR23" s="1">
        <v>0</v>
      </c>
      <c r="AS23" s="4">
        <f>102.78-2.78*8</f>
        <v>80.540000000000006</v>
      </c>
      <c r="AT23" s="1">
        <v>10</v>
      </c>
      <c r="AU23" s="11"/>
      <c r="AV23" s="2"/>
      <c r="AW23" s="1"/>
      <c r="AX23" s="4"/>
      <c r="AY23" s="1"/>
      <c r="AZ23" s="4"/>
      <c r="BA23" s="1"/>
      <c r="BB23" s="4"/>
      <c r="BC23" s="1"/>
      <c r="BD23" s="11">
        <f>+(0.0333*17)*9+17</f>
        <v>22.094900000000003</v>
      </c>
      <c r="BE23" s="2">
        <f>102.78-2.78*9</f>
        <v>77.760000000000005</v>
      </c>
      <c r="BF23" s="1">
        <v>10</v>
      </c>
      <c r="BG23" s="4">
        <f>102.78-2.78*6</f>
        <v>86.1</v>
      </c>
      <c r="BH23" s="1">
        <v>5</v>
      </c>
      <c r="BI23" s="4">
        <f>102.78-2.78*6</f>
        <v>86.1</v>
      </c>
      <c r="BJ23" s="1">
        <v>0</v>
      </c>
      <c r="BK23" s="4">
        <f>102.78-2.78*9</f>
        <v>77.760000000000005</v>
      </c>
      <c r="BL23" s="1">
        <v>10</v>
      </c>
      <c r="BM23" s="11">
        <f>+(0.0333*17)*8+17</f>
        <v>21.5288</v>
      </c>
      <c r="BN23" s="2">
        <f>102.78-2.78*8</f>
        <v>80.540000000000006</v>
      </c>
      <c r="BO23" s="1">
        <v>10</v>
      </c>
      <c r="BP23" s="4">
        <f>102.78-2.78*8</f>
        <v>80.540000000000006</v>
      </c>
      <c r="BQ23" s="1">
        <v>5</v>
      </c>
      <c r="BR23" s="4">
        <f>102.78-2.78*8</f>
        <v>80.540000000000006</v>
      </c>
      <c r="BS23" s="1">
        <v>0</v>
      </c>
      <c r="BT23" s="4">
        <f>102.78-2.78*8</f>
        <v>80.540000000000006</v>
      </c>
      <c r="BU23" s="1">
        <v>10</v>
      </c>
      <c r="BV23" s="11">
        <f>+(0.0333*27)*8+27</f>
        <v>34.192799999999998</v>
      </c>
      <c r="BW23" s="4">
        <f t="shared" si="33"/>
        <v>80.540000000000006</v>
      </c>
      <c r="BX23" s="1">
        <v>20</v>
      </c>
      <c r="BY23" s="4">
        <f>102.78-2.78*6</f>
        <v>86.1</v>
      </c>
      <c r="BZ23" s="1">
        <v>5</v>
      </c>
      <c r="CA23" s="4">
        <f>102.78-2.78*8</f>
        <v>80.540000000000006</v>
      </c>
      <c r="CB23" s="1">
        <v>0</v>
      </c>
      <c r="CC23" s="4">
        <f>102.78-2.78*8</f>
        <v>80.540000000000006</v>
      </c>
      <c r="CD23" s="1">
        <v>10</v>
      </c>
      <c r="CE23" s="11">
        <f>+(0.0333*27)*10+27</f>
        <v>35.991</v>
      </c>
      <c r="CF23" s="4">
        <f>102.78-2.78*10</f>
        <v>74.98</v>
      </c>
      <c r="CG23" s="1">
        <v>20</v>
      </c>
      <c r="CH23" s="4">
        <f>102.78-2.78*8</f>
        <v>80.540000000000006</v>
      </c>
      <c r="CI23" s="1">
        <v>5</v>
      </c>
      <c r="CJ23" s="4">
        <f>102.78-2.78*8</f>
        <v>80.540000000000006</v>
      </c>
      <c r="CK23" s="1">
        <v>0</v>
      </c>
      <c r="CL23" s="4">
        <f>102.78-2.78*10</f>
        <v>74.98</v>
      </c>
      <c r="CM23" s="1">
        <v>10</v>
      </c>
      <c r="CN23" s="11">
        <f>+(0.0333*27)*8+27</f>
        <v>34.192799999999998</v>
      </c>
      <c r="CO23" s="4">
        <f>102.78-2.78*8</f>
        <v>80.540000000000006</v>
      </c>
      <c r="CP23" s="1">
        <v>20</v>
      </c>
      <c r="CQ23" s="4">
        <f>102.78-2.78*6</f>
        <v>86.1</v>
      </c>
      <c r="CR23" s="1">
        <v>5</v>
      </c>
      <c r="CS23" s="4">
        <f>102.78-2.78*8</f>
        <v>80.540000000000006</v>
      </c>
      <c r="CT23" s="1">
        <v>5</v>
      </c>
      <c r="CU23" s="4">
        <f>102.78-2.78*8</f>
        <v>80.540000000000006</v>
      </c>
      <c r="CV23" s="1">
        <v>10</v>
      </c>
      <c r="CW23" s="11">
        <f>+(0.0333*27)*8+27</f>
        <v>34.192799999999998</v>
      </c>
      <c r="CX23" s="4">
        <f>102.78-2.78*8</f>
        <v>80.540000000000006</v>
      </c>
      <c r="CY23" s="1">
        <v>20</v>
      </c>
      <c r="CZ23" s="4">
        <f>102.78-2.78*9</f>
        <v>77.760000000000005</v>
      </c>
      <c r="DA23" s="1">
        <v>5</v>
      </c>
      <c r="DB23" s="4">
        <f>102.78-2.78*9</f>
        <v>77.760000000000005</v>
      </c>
      <c r="DC23" s="1">
        <v>5</v>
      </c>
      <c r="DD23" s="4"/>
      <c r="DE23" s="1">
        <v>10</v>
      </c>
      <c r="DF23" s="11">
        <f>+(0.0333*37)*10+37</f>
        <v>49.320999999999998</v>
      </c>
      <c r="DG23" s="4">
        <f>102.78-2.78*10</f>
        <v>74.98</v>
      </c>
      <c r="DH23" s="1">
        <v>30</v>
      </c>
      <c r="DI23" s="4">
        <f>102.78-2.78*8</f>
        <v>80.540000000000006</v>
      </c>
      <c r="DJ23" s="1">
        <v>5</v>
      </c>
      <c r="DK23" s="4">
        <f>102.78-2.78*10</f>
        <v>74.98</v>
      </c>
      <c r="DL23" s="1">
        <v>5</v>
      </c>
      <c r="DM23" s="4">
        <f>102.78-2.78*8</f>
        <v>80.540000000000006</v>
      </c>
      <c r="DN23" s="1">
        <v>20</v>
      </c>
      <c r="DO23" s="11">
        <f>+(0.0333*37)*8+37</f>
        <v>46.8568</v>
      </c>
      <c r="DP23" s="4">
        <f>102.78-2.78*8</f>
        <v>80.540000000000006</v>
      </c>
      <c r="DQ23" s="1">
        <v>30</v>
      </c>
      <c r="DR23" s="4">
        <f>102.78-2.78*8</f>
        <v>80.540000000000006</v>
      </c>
      <c r="DS23" s="1">
        <v>5</v>
      </c>
      <c r="DT23" s="4">
        <f>102.78-2.78*9</f>
        <v>77.760000000000005</v>
      </c>
      <c r="DU23" s="1">
        <v>5</v>
      </c>
      <c r="DV23" s="4">
        <f>102.78-2.78*8</f>
        <v>80.540000000000006</v>
      </c>
      <c r="DW23" s="1">
        <v>20</v>
      </c>
      <c r="DX23" s="11">
        <f>+(0.0333*37)*8+37</f>
        <v>46.8568</v>
      </c>
      <c r="DY23" s="4">
        <f>102.78-2.78*8</f>
        <v>80.540000000000006</v>
      </c>
      <c r="DZ23" s="1">
        <v>30</v>
      </c>
      <c r="EA23" s="4">
        <f>102.78-2.78*8</f>
        <v>80.540000000000006</v>
      </c>
      <c r="EB23" s="1">
        <v>5</v>
      </c>
      <c r="EC23" s="4">
        <f>102.78-2.78*8</f>
        <v>80.540000000000006</v>
      </c>
      <c r="ED23" s="1">
        <v>5</v>
      </c>
      <c r="EE23" s="4">
        <f>102.78-2.78*8</f>
        <v>80.540000000000006</v>
      </c>
      <c r="EF23" s="1">
        <v>20</v>
      </c>
      <c r="EG23" s="11">
        <f>+(0.0333*37)*10+37</f>
        <v>49.320999999999998</v>
      </c>
      <c r="EH23" s="4">
        <f>102.78-2.78*10</f>
        <v>74.98</v>
      </c>
      <c r="EI23" s="1">
        <v>30</v>
      </c>
      <c r="EJ23" s="4">
        <f>102.78-2.78*10</f>
        <v>74.98</v>
      </c>
      <c r="EK23" s="1">
        <v>5</v>
      </c>
      <c r="EL23" s="4">
        <f>102.78-2.78*10</f>
        <v>74.98</v>
      </c>
      <c r="EM23" s="1">
        <v>5</v>
      </c>
      <c r="EN23" s="4">
        <f>102.78-2.78*10</f>
        <v>74.98</v>
      </c>
      <c r="EO23" s="1">
        <v>20</v>
      </c>
      <c r="EP23" s="11">
        <f>+(0.0333*37)*10+37</f>
        <v>49.320999999999998</v>
      </c>
      <c r="EQ23" s="11" t="s">
        <v>76</v>
      </c>
      <c r="ER23" s="4">
        <f>102.78-2.78*10</f>
        <v>74.98</v>
      </c>
      <c r="ES23" s="1">
        <v>54</v>
      </c>
    </row>
    <row r="24" spans="1:149" s="3" customFormat="1" x14ac:dyDescent="0.3">
      <c r="A24" s="18" t="s">
        <v>67</v>
      </c>
      <c r="B24" s="18"/>
      <c r="C24" s="1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11"/>
      <c r="AM24" s="2"/>
      <c r="AN24" s="1"/>
      <c r="AO24" s="4"/>
      <c r="AP24" s="1"/>
      <c r="AQ24" s="4"/>
      <c r="AR24" s="1"/>
      <c r="AS24" s="4"/>
      <c r="AT24" s="1"/>
      <c r="AU24" s="11"/>
      <c r="AV24" s="2"/>
      <c r="AW24" s="1"/>
      <c r="AX24" s="4"/>
      <c r="AY24" s="1"/>
      <c r="AZ24" s="4"/>
      <c r="BA24" s="1"/>
      <c r="BB24" s="4"/>
      <c r="BC24" s="1"/>
      <c r="BD24" s="11">
        <f>+(0.0333*17)*9+17</f>
        <v>22.094900000000003</v>
      </c>
      <c r="BE24" s="2">
        <f>102.78-2.78*9</f>
        <v>77.760000000000005</v>
      </c>
      <c r="BF24" s="1">
        <v>10</v>
      </c>
      <c r="BG24" s="4">
        <f>102.78-2.78*9</f>
        <v>77.760000000000005</v>
      </c>
      <c r="BH24" s="1">
        <v>5</v>
      </c>
      <c r="BI24" s="4">
        <f>102.78-2.78*9</f>
        <v>77.760000000000005</v>
      </c>
      <c r="BJ24" s="1">
        <v>0</v>
      </c>
      <c r="BK24" s="4">
        <f>102.78-2.78*5</f>
        <v>88.88</v>
      </c>
      <c r="BL24" s="1">
        <v>10</v>
      </c>
      <c r="BM24" s="11">
        <f>+(0.0333*17)*10+17</f>
        <v>22.661000000000001</v>
      </c>
      <c r="BN24" s="2">
        <f>102.78-2.78*10</f>
        <v>74.98</v>
      </c>
      <c r="BO24" s="1">
        <v>10</v>
      </c>
      <c r="BP24" s="4">
        <f>102.78-2.78*9</f>
        <v>77.760000000000005</v>
      </c>
      <c r="BQ24" s="1">
        <v>5</v>
      </c>
      <c r="BR24" s="4">
        <f>102.78-2.78*9</f>
        <v>77.760000000000005</v>
      </c>
      <c r="BS24" s="1">
        <v>0</v>
      </c>
      <c r="BT24" s="4">
        <f>102.78-2.78*9</f>
        <v>77.760000000000005</v>
      </c>
      <c r="BU24" s="1">
        <v>10</v>
      </c>
      <c r="BV24" s="11">
        <f>+(0.0333*47)*8+47</f>
        <v>59.520800000000001</v>
      </c>
      <c r="BW24" s="2">
        <f t="shared" si="33"/>
        <v>80.540000000000006</v>
      </c>
      <c r="BX24" s="1">
        <v>40</v>
      </c>
      <c r="BY24" s="4">
        <f>102.78-2.78*10</f>
        <v>74.98</v>
      </c>
      <c r="BZ24" s="1">
        <v>5</v>
      </c>
      <c r="CA24" s="4">
        <f>102.78-2.78*10</f>
        <v>74.98</v>
      </c>
      <c r="CB24" s="1">
        <v>0</v>
      </c>
      <c r="CC24" s="4">
        <f>102.78-2.78*9</f>
        <v>77.760000000000005</v>
      </c>
      <c r="CD24" s="1">
        <v>10</v>
      </c>
      <c r="CE24" s="11"/>
      <c r="CF24" s="2"/>
      <c r="CG24" s="1"/>
      <c r="CH24" s="4"/>
      <c r="CI24" s="1"/>
      <c r="CJ24" s="4"/>
      <c r="CK24" s="1"/>
      <c r="CL24" s="4"/>
      <c r="CM24" s="1"/>
      <c r="CN24" s="11">
        <f>+(0.0333*57)*6+57</f>
        <v>68.388599999999997</v>
      </c>
      <c r="CO24" s="4">
        <f>102.78-2.78*6</f>
        <v>86.1</v>
      </c>
      <c r="CP24" s="1">
        <v>50</v>
      </c>
      <c r="CQ24" s="4">
        <f>102.78-2.78*10</f>
        <v>74.98</v>
      </c>
      <c r="CR24" s="1">
        <v>10</v>
      </c>
      <c r="CS24" s="4">
        <f>102.78-2.78*5</f>
        <v>88.88</v>
      </c>
      <c r="CT24" s="1">
        <v>7.5</v>
      </c>
      <c r="CU24" s="4">
        <f>102.78-2.78*7</f>
        <v>83.320000000000007</v>
      </c>
      <c r="CV24" s="1"/>
      <c r="CW24" s="11">
        <f>+(0.0333*47)*8+47</f>
        <v>59.520800000000001</v>
      </c>
      <c r="CX24" s="4">
        <f>102.78-2.78*6</f>
        <v>86.1</v>
      </c>
      <c r="CY24" s="1">
        <v>50</v>
      </c>
      <c r="CZ24" s="4">
        <f>102.78-2.78*6</f>
        <v>86.1</v>
      </c>
      <c r="DA24" s="1">
        <v>10</v>
      </c>
      <c r="DB24" s="4">
        <f>102.78-2.78*6</f>
        <v>86.1</v>
      </c>
      <c r="DC24" s="1">
        <v>7.5</v>
      </c>
      <c r="DD24" s="4">
        <f>102.78-2.78*9</f>
        <v>77.760000000000005</v>
      </c>
      <c r="DE24" s="1"/>
      <c r="DF24" s="11"/>
      <c r="DG24" s="4"/>
      <c r="DH24" s="1"/>
      <c r="DI24" s="4"/>
      <c r="DJ24" s="1">
        <v>5</v>
      </c>
      <c r="DK24" s="4">
        <f>102.78-2.78*9</f>
        <v>77.760000000000005</v>
      </c>
      <c r="DL24" s="1">
        <v>7.5</v>
      </c>
      <c r="DM24" s="4"/>
      <c r="DN24" s="1"/>
      <c r="DO24" s="11">
        <f>+(0.0333*37)*8+37</f>
        <v>46.8568</v>
      </c>
      <c r="DP24" s="4">
        <f>102.78-2.78*9</f>
        <v>77.760000000000005</v>
      </c>
      <c r="DQ24" s="1">
        <v>30</v>
      </c>
      <c r="DR24" s="4">
        <f>102.78-2.78*8</f>
        <v>80.540000000000006</v>
      </c>
      <c r="DS24" s="1">
        <v>5</v>
      </c>
      <c r="DT24" s="4">
        <f>102.78-2.78*8</f>
        <v>80.540000000000006</v>
      </c>
      <c r="DU24" s="1">
        <v>5</v>
      </c>
      <c r="DV24" s="4">
        <f>102.78-2.78*7</f>
        <v>83.320000000000007</v>
      </c>
      <c r="DW24" s="1">
        <v>20</v>
      </c>
      <c r="DX24" s="11">
        <f>+(0.0333*37)*7+37</f>
        <v>45.624700000000004</v>
      </c>
      <c r="DY24" s="4">
        <f>102.78-2.78*7</f>
        <v>83.320000000000007</v>
      </c>
      <c r="DZ24" s="1">
        <v>30</v>
      </c>
      <c r="EA24" s="4">
        <f>102.78-2.78*8</f>
        <v>80.540000000000006</v>
      </c>
      <c r="EB24" s="1">
        <v>5</v>
      </c>
      <c r="EC24" s="4">
        <f>102.78-2.78*8</f>
        <v>80.540000000000006</v>
      </c>
      <c r="ED24" s="1">
        <v>5</v>
      </c>
      <c r="EE24" s="4">
        <f>102.78-2.78*8</f>
        <v>80.540000000000006</v>
      </c>
      <c r="EF24" s="1">
        <v>20</v>
      </c>
      <c r="EG24" s="11">
        <f>+(0.0333*37)*9+37</f>
        <v>48.088900000000002</v>
      </c>
      <c r="EH24" s="4">
        <f>102.78-2.78*9</f>
        <v>77.760000000000005</v>
      </c>
      <c r="EI24" s="1">
        <v>30</v>
      </c>
      <c r="EJ24" s="4">
        <f>102.78-2.78*9</f>
        <v>77.760000000000005</v>
      </c>
      <c r="EK24" s="1">
        <v>5</v>
      </c>
      <c r="EL24" s="4">
        <f>102.78-2.78*9</f>
        <v>77.760000000000005</v>
      </c>
      <c r="EM24" s="1">
        <v>5</v>
      </c>
      <c r="EN24" s="4">
        <f>102.78-2.78*9</f>
        <v>77.760000000000005</v>
      </c>
      <c r="EO24" s="1">
        <v>20</v>
      </c>
      <c r="EP24" s="11"/>
      <c r="EQ24" s="11" t="s">
        <v>76</v>
      </c>
      <c r="ER24" s="4">
        <v>85</v>
      </c>
      <c r="ES24" s="1">
        <v>52</v>
      </c>
    </row>
    <row r="25" spans="1:149" s="3" customFormat="1" x14ac:dyDescent="0.3">
      <c r="A25" s="18" t="s">
        <v>68</v>
      </c>
      <c r="B25" s="18"/>
      <c r="C25" s="1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11"/>
      <c r="AM25" s="2"/>
      <c r="AN25" s="1"/>
      <c r="AO25" s="4"/>
      <c r="AP25" s="1"/>
      <c r="AQ25" s="4"/>
      <c r="AR25" s="1"/>
      <c r="AS25" s="4"/>
      <c r="AT25" s="1"/>
      <c r="AU25" s="11"/>
      <c r="AV25" s="2"/>
      <c r="AW25" s="1"/>
      <c r="AX25" s="4"/>
      <c r="AY25" s="1"/>
      <c r="AZ25" s="4"/>
      <c r="BA25" s="1"/>
      <c r="BB25" s="4"/>
      <c r="BC25" s="1"/>
      <c r="BD25" s="11"/>
      <c r="BE25" s="2"/>
      <c r="BF25" s="1"/>
      <c r="BG25" s="4"/>
      <c r="BH25" s="1"/>
      <c r="BI25" s="4"/>
      <c r="BJ25" s="1"/>
      <c r="BK25" s="4"/>
      <c r="BL25" s="1"/>
      <c r="BM25" s="11"/>
      <c r="BN25" s="2"/>
      <c r="BO25" s="1"/>
      <c r="BP25" s="4"/>
      <c r="BQ25" s="1"/>
      <c r="BR25" s="4"/>
      <c r="BS25" s="1"/>
      <c r="BT25" s="4"/>
      <c r="BU25" s="1"/>
      <c r="BV25" s="11">
        <f>+(0.0333*27)*8+27</f>
        <v>34.192799999999998</v>
      </c>
      <c r="BW25" s="4">
        <f t="shared" si="33"/>
        <v>80.540000000000006</v>
      </c>
      <c r="BX25" s="1">
        <v>20</v>
      </c>
      <c r="BY25" s="4">
        <f>102.78-2.78*6</f>
        <v>86.1</v>
      </c>
      <c r="BZ25" s="1">
        <v>5</v>
      </c>
      <c r="CA25" s="4">
        <f>102.78-2.78*14</f>
        <v>63.860000000000007</v>
      </c>
      <c r="CB25" s="1">
        <v>0</v>
      </c>
      <c r="CC25" s="4">
        <f>102.78-2.78*9</f>
        <v>77.760000000000005</v>
      </c>
      <c r="CD25" s="1"/>
      <c r="CE25" s="11">
        <f>+(0.0333*27)*10+27</f>
        <v>35.991</v>
      </c>
      <c r="CF25" s="4">
        <f>102.78-2.78*10</f>
        <v>74.98</v>
      </c>
      <c r="CG25" s="1">
        <v>20</v>
      </c>
      <c r="CH25" s="4">
        <f>102.78-2.78*8</f>
        <v>80.540000000000006</v>
      </c>
      <c r="CI25" s="1">
        <v>5</v>
      </c>
      <c r="CJ25" s="4">
        <f>102.78-2.78*10</f>
        <v>74.98</v>
      </c>
      <c r="CK25" s="1">
        <v>0</v>
      </c>
      <c r="CL25" s="4">
        <f>102.78-2.78*10</f>
        <v>74.98</v>
      </c>
      <c r="CM25" s="1">
        <v>10</v>
      </c>
      <c r="CN25" s="11"/>
      <c r="CO25" s="4"/>
      <c r="CP25" s="1"/>
      <c r="CQ25" s="4"/>
      <c r="CR25" s="1"/>
      <c r="CS25" s="4"/>
      <c r="CT25" s="1"/>
      <c r="CU25" s="4"/>
      <c r="CV25" s="1"/>
      <c r="CW25" s="11"/>
      <c r="CX25" s="4"/>
      <c r="CY25" s="1"/>
      <c r="CZ25" s="4"/>
      <c r="DA25" s="1"/>
      <c r="DB25" s="4"/>
      <c r="DC25" s="1"/>
      <c r="DD25" s="4"/>
      <c r="DE25" s="1"/>
      <c r="DF25" s="11"/>
      <c r="DG25" s="4"/>
      <c r="DH25" s="1">
        <v>30</v>
      </c>
      <c r="DI25" s="4">
        <f>102.78-2.78*8</f>
        <v>80.540000000000006</v>
      </c>
      <c r="DJ25" s="1"/>
      <c r="DK25" s="4"/>
      <c r="DL25" s="1">
        <v>5</v>
      </c>
      <c r="DM25" s="4"/>
      <c r="DN25" s="1"/>
      <c r="DO25" s="11"/>
      <c r="DP25" s="4"/>
      <c r="DQ25" s="1"/>
      <c r="DR25" s="4"/>
      <c r="DS25" s="1"/>
      <c r="DT25" s="4"/>
      <c r="DU25" s="1"/>
      <c r="DV25" s="4"/>
      <c r="DW25" s="1"/>
      <c r="DX25" s="11"/>
      <c r="DY25" s="4"/>
      <c r="DZ25" s="1"/>
      <c r="EA25" s="4"/>
      <c r="EB25" s="1"/>
      <c r="EC25" s="4"/>
      <c r="ED25" s="1"/>
      <c r="EE25" s="4"/>
      <c r="EF25" s="1"/>
      <c r="EG25" s="11"/>
      <c r="EH25" s="4"/>
      <c r="EI25" s="1"/>
      <c r="EJ25" s="4"/>
      <c r="EK25" s="1"/>
      <c r="EL25" s="4"/>
      <c r="EM25" s="1"/>
      <c r="EN25" s="4"/>
      <c r="EO25" s="1"/>
      <c r="EP25" s="11"/>
      <c r="EQ25" s="11" t="s">
        <v>76</v>
      </c>
      <c r="ER25" s="4">
        <v>102.5</v>
      </c>
      <c r="ES25" s="1">
        <v>55.754633821542257</v>
      </c>
    </row>
    <row r="26" spans="1:149" s="3" customFormat="1" x14ac:dyDescent="0.3">
      <c r="A26" s="18" t="s">
        <v>69</v>
      </c>
      <c r="B26" s="18"/>
      <c r="C26" s="1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11"/>
      <c r="AM26" s="2"/>
      <c r="AN26" s="1"/>
      <c r="AO26" s="4"/>
      <c r="AP26" s="1"/>
      <c r="AQ26" s="4"/>
      <c r="AR26" s="1"/>
      <c r="AS26" s="4"/>
      <c r="AT26" s="1"/>
      <c r="AU26" s="11"/>
      <c r="AV26" s="2"/>
      <c r="AW26" s="1"/>
      <c r="AX26" s="4"/>
      <c r="AY26" s="1"/>
      <c r="AZ26" s="4"/>
      <c r="BA26" s="1"/>
      <c r="BB26" s="4"/>
      <c r="BC26" s="1"/>
      <c r="BD26" s="11"/>
      <c r="BE26" s="2"/>
      <c r="BF26" s="1"/>
      <c r="BG26" s="4"/>
      <c r="BH26" s="1"/>
      <c r="BI26" s="4"/>
      <c r="BJ26" s="1"/>
      <c r="BK26" s="4"/>
      <c r="BL26" s="1"/>
      <c r="BM26" s="11"/>
      <c r="BN26" s="2"/>
      <c r="BO26" s="1"/>
      <c r="BP26" s="4"/>
      <c r="BQ26" s="1"/>
      <c r="BR26" s="4"/>
      <c r="BS26" s="1"/>
      <c r="BT26" s="4"/>
      <c r="BU26" s="1"/>
      <c r="BV26" s="11"/>
      <c r="BW26" s="4"/>
      <c r="BX26" s="1"/>
      <c r="BY26" s="4"/>
      <c r="BZ26" s="1"/>
      <c r="CA26" s="4"/>
      <c r="CB26" s="1"/>
      <c r="CC26" s="4"/>
      <c r="CD26" s="1"/>
      <c r="CE26" s="11">
        <f>+(0.0333*27)*10+27</f>
        <v>35.991</v>
      </c>
      <c r="CF26" s="4">
        <f>102.78-2.78*10</f>
        <v>74.98</v>
      </c>
      <c r="CG26" s="1">
        <v>20</v>
      </c>
      <c r="CH26" s="4">
        <f>102.78-2.78*9</f>
        <v>77.760000000000005</v>
      </c>
      <c r="CI26" s="1">
        <v>5</v>
      </c>
      <c r="CJ26" s="4">
        <f>102.78-2.78*9</f>
        <v>77.760000000000005</v>
      </c>
      <c r="CK26" s="1">
        <v>0</v>
      </c>
      <c r="CL26" s="4">
        <f>102.78-2.78*9</f>
        <v>77.760000000000005</v>
      </c>
      <c r="CM26" s="1">
        <v>10</v>
      </c>
      <c r="CN26" s="11">
        <f>+(0.0333*27)*8+27</f>
        <v>34.192799999999998</v>
      </c>
      <c r="CO26" s="4">
        <f>102.78-2.78*8</f>
        <v>80.540000000000006</v>
      </c>
      <c r="CP26" s="1">
        <v>20</v>
      </c>
      <c r="CQ26" s="4">
        <f>102.78-2.78*9</f>
        <v>77.760000000000005</v>
      </c>
      <c r="CR26" s="1">
        <v>5</v>
      </c>
      <c r="CS26" s="4">
        <f>102.78-2.78*9</f>
        <v>77.760000000000005</v>
      </c>
      <c r="CT26" s="1">
        <v>5</v>
      </c>
      <c r="CU26" s="4">
        <f>102.78-2.78*8</f>
        <v>80.540000000000006</v>
      </c>
      <c r="CV26" s="1">
        <v>10</v>
      </c>
      <c r="CW26" s="11">
        <f>+(0.0333*27)*8+27</f>
        <v>34.192799999999998</v>
      </c>
      <c r="CX26" s="4">
        <f>102.78-2.78*8</f>
        <v>80.540000000000006</v>
      </c>
      <c r="CY26" s="1">
        <v>20</v>
      </c>
      <c r="CZ26" s="4">
        <f>102.78-2.78*9</f>
        <v>77.760000000000005</v>
      </c>
      <c r="DA26" s="1">
        <v>5</v>
      </c>
      <c r="DB26" s="4">
        <f>102.78-2.78*9</f>
        <v>77.760000000000005</v>
      </c>
      <c r="DC26" s="1">
        <v>5</v>
      </c>
      <c r="DD26" s="4">
        <f>102.78-2.78*8</f>
        <v>80.540000000000006</v>
      </c>
      <c r="DE26" s="1">
        <v>10</v>
      </c>
      <c r="DF26" s="11">
        <f>+(0.0333*37)*8+37</f>
        <v>46.8568</v>
      </c>
      <c r="DG26" s="4">
        <f>102.78-2.78*8</f>
        <v>80.540000000000006</v>
      </c>
      <c r="DH26" s="1">
        <v>30</v>
      </c>
      <c r="DI26" s="4">
        <f>102.78-2.78*8</f>
        <v>80.540000000000006</v>
      </c>
      <c r="DJ26" s="1">
        <v>20</v>
      </c>
      <c r="DK26" s="4"/>
      <c r="DL26" s="1"/>
      <c r="DM26" s="4">
        <f>102.78-2.78*8</f>
        <v>80.540000000000006</v>
      </c>
      <c r="DN26" s="1">
        <v>20</v>
      </c>
      <c r="DO26" s="11">
        <f>+(0.0333*37)*8+37</f>
        <v>46.8568</v>
      </c>
      <c r="DP26" s="4">
        <f>102.78-2.78*8</f>
        <v>80.540000000000006</v>
      </c>
      <c r="DQ26" s="1">
        <v>30</v>
      </c>
      <c r="DR26" s="4">
        <f>102.78-2.78*8</f>
        <v>80.540000000000006</v>
      </c>
      <c r="DS26" s="1">
        <v>20</v>
      </c>
      <c r="DT26" s="4">
        <f>102.78-2.78*8</f>
        <v>80.540000000000006</v>
      </c>
      <c r="DU26" s="1"/>
      <c r="DV26" s="4">
        <f>102.78-2.78*8</f>
        <v>80.540000000000006</v>
      </c>
      <c r="DW26" s="1">
        <v>20</v>
      </c>
      <c r="DX26" s="11">
        <f>+(0.0333*37)*8+37</f>
        <v>46.8568</v>
      </c>
      <c r="DY26" s="4">
        <f>102.78-2.78*8</f>
        <v>80.540000000000006</v>
      </c>
      <c r="DZ26" s="1">
        <v>30</v>
      </c>
      <c r="EA26" s="4">
        <f>102.78-2.78*8</f>
        <v>80.540000000000006</v>
      </c>
      <c r="EB26" s="1">
        <v>20</v>
      </c>
      <c r="EC26" s="4">
        <f>102.78-2.78*8</f>
        <v>80.540000000000006</v>
      </c>
      <c r="ED26" s="1">
        <v>5</v>
      </c>
      <c r="EE26" s="4">
        <f>102.78-2.78*8</f>
        <v>80.540000000000006</v>
      </c>
      <c r="EF26" s="1">
        <v>20</v>
      </c>
      <c r="EG26" s="11">
        <f>+(0.0333*37)*8+37</f>
        <v>46.8568</v>
      </c>
      <c r="EH26" s="4">
        <f>102.78-2.78*8</f>
        <v>80.540000000000006</v>
      </c>
      <c r="EI26" s="1">
        <v>30</v>
      </c>
      <c r="EJ26" s="4">
        <f>102.78-2.78*10</f>
        <v>74.98</v>
      </c>
      <c r="EK26" s="1">
        <v>20</v>
      </c>
      <c r="EL26" s="4">
        <f>102.78-2.78*10</f>
        <v>74.98</v>
      </c>
      <c r="EM26" s="1">
        <v>5</v>
      </c>
      <c r="EN26" s="4">
        <f>102.78-2.78*8</f>
        <v>80.540000000000006</v>
      </c>
      <c r="EO26" s="1">
        <v>20</v>
      </c>
      <c r="EP26" s="11">
        <f>+(0.0333*37)*9+37</f>
        <v>48.088900000000002</v>
      </c>
      <c r="EQ26" s="11" t="s">
        <v>76</v>
      </c>
      <c r="ER26" s="4">
        <f>102.78-2.78*9</f>
        <v>77.760000000000005</v>
      </c>
      <c r="ES26" s="1">
        <v>48</v>
      </c>
    </row>
    <row r="27" spans="1:149" s="3" customFormat="1" x14ac:dyDescent="0.3">
      <c r="A27" s="18" t="s">
        <v>70</v>
      </c>
      <c r="B27" s="18"/>
      <c r="C27" s="1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11"/>
      <c r="AM27" s="2"/>
      <c r="AN27" s="1"/>
      <c r="AO27" s="4"/>
      <c r="AP27" s="1"/>
      <c r="AQ27" s="4"/>
      <c r="AR27" s="1"/>
      <c r="AS27" s="4"/>
      <c r="AT27" s="1"/>
      <c r="AU27" s="11"/>
      <c r="AV27" s="2"/>
      <c r="AW27" s="1"/>
      <c r="AX27" s="4"/>
      <c r="AY27" s="1"/>
      <c r="AZ27" s="4"/>
      <c r="BA27" s="1"/>
      <c r="BB27" s="4"/>
      <c r="BC27" s="1"/>
      <c r="BD27" s="11"/>
      <c r="BE27" s="2"/>
      <c r="BF27" s="1"/>
      <c r="BG27" s="4"/>
      <c r="BH27" s="1"/>
      <c r="BI27" s="4"/>
      <c r="BJ27" s="1"/>
      <c r="BK27" s="4"/>
      <c r="BL27" s="1"/>
      <c r="BM27" s="11"/>
      <c r="BN27" s="2"/>
      <c r="BO27" s="1"/>
      <c r="BP27" s="4"/>
      <c r="BQ27" s="1"/>
      <c r="BR27" s="4"/>
      <c r="BS27" s="1"/>
      <c r="BT27" s="4"/>
      <c r="BU27" s="1"/>
      <c r="BV27" s="11"/>
      <c r="BW27" s="4"/>
      <c r="BX27" s="1"/>
      <c r="BY27" s="4"/>
      <c r="BZ27" s="1"/>
      <c r="CA27" s="4"/>
      <c r="CB27" s="1"/>
      <c r="CC27" s="4"/>
      <c r="CD27" s="1"/>
      <c r="CE27" s="11">
        <f>+(0.0333*47)*9+47</f>
        <v>61.085900000000002</v>
      </c>
      <c r="CF27" s="4">
        <f>102.78-2.78*9</f>
        <v>77.760000000000005</v>
      </c>
      <c r="CG27" s="1">
        <v>40</v>
      </c>
      <c r="CH27" s="4">
        <f>102.78-2.78*9</f>
        <v>77.760000000000005</v>
      </c>
      <c r="CI27" s="1">
        <v>5</v>
      </c>
      <c r="CJ27" s="4">
        <f>102.78-2.78*9</f>
        <v>77.760000000000005</v>
      </c>
      <c r="CK27" s="1">
        <v>5</v>
      </c>
      <c r="CL27" s="4">
        <f>102.78-2.78*9</f>
        <v>77.760000000000005</v>
      </c>
      <c r="CM27" s="1">
        <v>10</v>
      </c>
      <c r="CN27" s="11">
        <f>+(0.0333*47)*8+47</f>
        <v>59.520800000000001</v>
      </c>
      <c r="CO27" s="4">
        <f>102.78-2.78*8</f>
        <v>80.540000000000006</v>
      </c>
      <c r="CP27" s="1">
        <v>40</v>
      </c>
      <c r="CQ27" s="4">
        <f>102.78-2.78*10</f>
        <v>74.98</v>
      </c>
      <c r="CR27" s="1">
        <v>5</v>
      </c>
      <c r="CS27" s="4">
        <f>102.78-2.78*10</f>
        <v>74.98</v>
      </c>
      <c r="CT27" s="1">
        <v>5</v>
      </c>
      <c r="CU27" s="4">
        <f>102.78-2.78*8</f>
        <v>80.540000000000006</v>
      </c>
      <c r="CV27" s="1">
        <v>10</v>
      </c>
      <c r="CW27" s="11">
        <f>+(0.0333*47)*8+47</f>
        <v>59.520800000000001</v>
      </c>
      <c r="CX27" s="4">
        <f>102.78-2.78*8</f>
        <v>80.540000000000006</v>
      </c>
      <c r="CY27" s="1">
        <v>20</v>
      </c>
      <c r="CZ27" s="4">
        <f>102.78-2.78*8</f>
        <v>80.540000000000006</v>
      </c>
      <c r="DA27" s="1">
        <v>5</v>
      </c>
      <c r="DB27" s="4">
        <f>102.78-2.78*8</f>
        <v>80.540000000000006</v>
      </c>
      <c r="DC27" s="1">
        <v>5</v>
      </c>
      <c r="DD27" s="4">
        <f>102.78-2.78*8</f>
        <v>80.540000000000006</v>
      </c>
      <c r="DE27" s="1">
        <v>10</v>
      </c>
      <c r="DF27" s="11">
        <f>+(0.0333*37)*8+37</f>
        <v>46.8568</v>
      </c>
      <c r="DG27" s="4">
        <f>102.78-2.78*8</f>
        <v>80.540000000000006</v>
      </c>
      <c r="DH27" s="1">
        <v>30</v>
      </c>
      <c r="DI27" s="4">
        <f>102.78-2.78*9</f>
        <v>77.760000000000005</v>
      </c>
      <c r="DJ27" s="1">
        <v>20</v>
      </c>
      <c r="DK27" s="4">
        <f>102.78-2.78*8</f>
        <v>80.540000000000006</v>
      </c>
      <c r="DL27" s="1">
        <v>5</v>
      </c>
      <c r="DM27" s="4">
        <f>102.78-2.78*9</f>
        <v>77.760000000000005</v>
      </c>
      <c r="DN27" s="1">
        <v>20</v>
      </c>
      <c r="DO27" s="11">
        <f>+(0.0333*37)*9+37</f>
        <v>48.088900000000002</v>
      </c>
      <c r="DP27" s="4">
        <f>102.78-2.78*9</f>
        <v>77.760000000000005</v>
      </c>
      <c r="DQ27" s="1">
        <v>30</v>
      </c>
      <c r="DR27" s="4">
        <f>102.78-2.78*9</f>
        <v>77.760000000000005</v>
      </c>
      <c r="DS27" s="1">
        <v>20</v>
      </c>
      <c r="DT27" s="4">
        <f>102.78-2.78*8</f>
        <v>80.540000000000006</v>
      </c>
      <c r="DU27" s="1">
        <v>5</v>
      </c>
      <c r="DV27" s="4">
        <f>102.78-2.78*7</f>
        <v>83.320000000000007</v>
      </c>
      <c r="DW27" s="1">
        <v>20</v>
      </c>
      <c r="DX27" s="11"/>
      <c r="DY27" s="4"/>
      <c r="DZ27" s="1"/>
      <c r="EA27" s="4"/>
      <c r="EB27" s="1"/>
      <c r="EC27" s="4"/>
      <c r="ED27" s="1"/>
      <c r="EE27" s="4"/>
      <c r="EF27" s="1"/>
      <c r="EG27" s="11">
        <f>+(0.0333*37)*8+37</f>
        <v>46.8568</v>
      </c>
      <c r="EH27" s="4">
        <f>102.78-2.78*8</f>
        <v>80.540000000000006</v>
      </c>
      <c r="EI27" s="1">
        <v>30</v>
      </c>
      <c r="EJ27" s="4">
        <f>102.78-2.78*8</f>
        <v>80.540000000000006</v>
      </c>
      <c r="EK27" s="1">
        <v>20</v>
      </c>
      <c r="EL27" s="4">
        <f>102.78-2.78*10</f>
        <v>74.98</v>
      </c>
      <c r="EM27" s="1">
        <v>5</v>
      </c>
      <c r="EN27" s="4">
        <f>102.78-2.78*8</f>
        <v>80.540000000000006</v>
      </c>
      <c r="EO27" s="1">
        <v>20</v>
      </c>
      <c r="EP27" s="11">
        <f>+(0.0333*37)*9+37</f>
        <v>48.088900000000002</v>
      </c>
      <c r="EQ27" s="11" t="s">
        <v>76</v>
      </c>
      <c r="ER27" s="4">
        <f>102.78-2.78*9</f>
        <v>77.760000000000005</v>
      </c>
      <c r="ES27" s="1">
        <v>52</v>
      </c>
    </row>
    <row r="28" spans="1:149" s="3" customFormat="1" x14ac:dyDescent="0.3">
      <c r="A28" s="18" t="s">
        <v>71</v>
      </c>
      <c r="B28" s="18"/>
      <c r="C28" s="1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11"/>
      <c r="AM28" s="2"/>
      <c r="AN28" s="1"/>
      <c r="AO28" s="4"/>
      <c r="AP28" s="1"/>
      <c r="AQ28" s="4"/>
      <c r="AR28" s="1"/>
      <c r="AS28" s="4"/>
      <c r="AT28" s="1"/>
      <c r="AU28" s="11"/>
      <c r="AV28" s="2"/>
      <c r="AW28" s="1"/>
      <c r="AX28" s="4"/>
      <c r="AY28" s="1"/>
      <c r="AZ28" s="4"/>
      <c r="BA28" s="1"/>
      <c r="BB28" s="4"/>
      <c r="BC28" s="1"/>
      <c r="BD28" s="11"/>
      <c r="BE28" s="2"/>
      <c r="BF28" s="1"/>
      <c r="BG28" s="4"/>
      <c r="BH28" s="1"/>
      <c r="BI28" s="4"/>
      <c r="BJ28" s="1"/>
      <c r="BK28" s="4"/>
      <c r="BL28" s="1"/>
      <c r="BM28" s="11"/>
      <c r="BN28" s="2"/>
      <c r="BO28" s="1"/>
      <c r="BP28" s="4"/>
      <c r="BQ28" s="1"/>
      <c r="BR28" s="4"/>
      <c r="BS28" s="1"/>
      <c r="BT28" s="4"/>
      <c r="BU28" s="1"/>
      <c r="BV28" s="11"/>
      <c r="BW28" s="4"/>
      <c r="BX28" s="1"/>
      <c r="BY28" s="4"/>
      <c r="BZ28" s="1"/>
      <c r="CA28" s="4"/>
      <c r="CB28" s="1"/>
      <c r="CC28" s="4"/>
      <c r="CD28" s="1"/>
      <c r="CE28" s="11">
        <f>+(0.0333*27)*10+27</f>
        <v>35.991</v>
      </c>
      <c r="CF28" s="4">
        <f>102.78-2.78*10</f>
        <v>74.98</v>
      </c>
      <c r="CG28" s="1">
        <v>20</v>
      </c>
      <c r="CH28" s="4">
        <f>102.78-2.78*10</f>
        <v>74.98</v>
      </c>
      <c r="CI28" s="1">
        <v>5</v>
      </c>
      <c r="CJ28" s="4">
        <f>102.78-2.78*10</f>
        <v>74.98</v>
      </c>
      <c r="CK28" s="1">
        <v>0</v>
      </c>
      <c r="CL28" s="4">
        <f>102.78-2.78*10</f>
        <v>74.98</v>
      </c>
      <c r="CM28" s="1">
        <v>10</v>
      </c>
      <c r="CN28" s="11"/>
      <c r="CO28" s="4"/>
      <c r="CP28" s="1"/>
      <c r="CQ28" s="4"/>
      <c r="CR28" s="1"/>
      <c r="CS28" s="4"/>
      <c r="CT28" s="1"/>
      <c r="CU28" s="4"/>
      <c r="CV28" s="1"/>
      <c r="CW28" s="11"/>
      <c r="CX28" s="4"/>
      <c r="CY28" s="1"/>
      <c r="CZ28" s="4"/>
      <c r="DA28" s="1"/>
      <c r="DB28" s="4"/>
      <c r="DC28" s="1"/>
      <c r="DD28" s="4"/>
      <c r="DE28" s="1"/>
      <c r="DF28" s="11"/>
      <c r="DG28" s="4"/>
      <c r="DH28" s="1"/>
      <c r="DI28" s="4"/>
      <c r="DJ28" s="1"/>
      <c r="DK28" s="4">
        <f>102.78-2.78*9</f>
        <v>77.760000000000005</v>
      </c>
      <c r="DL28" s="1">
        <v>7.5</v>
      </c>
      <c r="DM28" s="4"/>
      <c r="DN28" s="1"/>
      <c r="DO28" s="11"/>
      <c r="DP28" s="4"/>
      <c r="DQ28" s="1"/>
      <c r="DR28" s="4"/>
      <c r="DS28" s="1"/>
      <c r="DT28" s="4"/>
      <c r="DU28" s="1"/>
      <c r="DV28" s="4"/>
      <c r="DW28" s="1"/>
      <c r="DX28" s="11"/>
      <c r="DY28" s="4"/>
      <c r="DZ28" s="1"/>
      <c r="EA28" s="4"/>
      <c r="EB28" s="1"/>
      <c r="EC28" s="4"/>
      <c r="ED28" s="1"/>
      <c r="EE28" s="4"/>
      <c r="EF28" s="1"/>
      <c r="EG28" s="11"/>
      <c r="EH28" s="4"/>
      <c r="EI28" s="1"/>
      <c r="EJ28" s="4"/>
      <c r="EK28" s="1"/>
      <c r="EL28" s="4"/>
      <c r="EM28" s="1"/>
      <c r="EN28" s="4"/>
      <c r="EO28" s="1"/>
      <c r="EP28" s="11">
        <f>+(0.0333*57)*10+57</f>
        <v>75.980999999999995</v>
      </c>
      <c r="EQ28" s="11" t="s">
        <v>76</v>
      </c>
      <c r="ER28" s="4">
        <v>105</v>
      </c>
      <c r="ES28" s="1">
        <v>52</v>
      </c>
    </row>
    <row r="29" spans="1:149" s="3" customFormat="1" x14ac:dyDescent="0.3">
      <c r="A29" s="18" t="s">
        <v>72</v>
      </c>
      <c r="B29" s="18"/>
      <c r="C29" s="1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11"/>
      <c r="AM29" s="2"/>
      <c r="AN29" s="1"/>
      <c r="AO29" s="4"/>
      <c r="AP29" s="1"/>
      <c r="AQ29" s="4"/>
      <c r="AR29" s="1"/>
      <c r="AS29" s="4"/>
      <c r="AT29" s="1"/>
      <c r="AU29" s="11"/>
      <c r="AV29" s="2"/>
      <c r="AW29" s="1"/>
      <c r="AX29" s="4"/>
      <c r="AY29" s="1"/>
      <c r="AZ29" s="4"/>
      <c r="BA29" s="1"/>
      <c r="BB29" s="4"/>
      <c r="BC29" s="1"/>
      <c r="BD29" s="11"/>
      <c r="BE29" s="2"/>
      <c r="BF29" s="1"/>
      <c r="BG29" s="4"/>
      <c r="BH29" s="1"/>
      <c r="BI29" s="4"/>
      <c r="BJ29" s="1"/>
      <c r="BK29" s="4"/>
      <c r="BL29" s="1"/>
      <c r="BM29" s="11"/>
      <c r="BN29" s="2"/>
      <c r="BO29" s="1"/>
      <c r="BP29" s="4"/>
      <c r="BQ29" s="1"/>
      <c r="BR29" s="4"/>
      <c r="BS29" s="1"/>
      <c r="BT29" s="4"/>
      <c r="BU29" s="1"/>
      <c r="BV29" s="11"/>
      <c r="BW29" s="4"/>
      <c r="BX29" s="1"/>
      <c r="BY29" s="4"/>
      <c r="BZ29" s="1"/>
      <c r="CA29" s="4"/>
      <c r="CB29" s="1"/>
      <c r="CC29" s="4"/>
      <c r="CD29" s="1"/>
      <c r="CE29" s="11"/>
      <c r="CF29" s="4"/>
      <c r="CG29" s="1"/>
      <c r="CH29" s="4"/>
      <c r="CI29" s="1"/>
      <c r="CJ29" s="4"/>
      <c r="CK29" s="1"/>
      <c r="CL29" s="4"/>
      <c r="CM29" s="1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11">
        <f>+(0.0333*57)*8+57</f>
        <v>72.184799999999996</v>
      </c>
      <c r="EQ29" s="11" t="s">
        <v>76</v>
      </c>
      <c r="ER29" s="4">
        <f>102.78-2.78*8</f>
        <v>80.540000000000006</v>
      </c>
      <c r="ES29" s="1">
        <v>51</v>
      </c>
    </row>
    <row r="30" spans="1:149" s="3" customFormat="1" x14ac:dyDescent="0.3">
      <c r="A30" s="18" t="s">
        <v>41</v>
      </c>
      <c r="B30" s="18"/>
      <c r="C30" s="1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11"/>
      <c r="AM30" s="2"/>
      <c r="AN30" s="1"/>
      <c r="AO30" s="4"/>
      <c r="AP30" s="1"/>
      <c r="AQ30" s="4"/>
      <c r="AR30" s="1"/>
      <c r="AS30" s="4"/>
      <c r="AT30" s="1"/>
      <c r="AU30" s="11"/>
      <c r="AV30" s="2"/>
      <c r="AW30" s="1"/>
      <c r="AX30" s="4"/>
      <c r="AY30" s="1"/>
      <c r="AZ30" s="4"/>
      <c r="BA30" s="1"/>
      <c r="BB30" s="4"/>
      <c r="BC30" s="1"/>
      <c r="BD30" s="11"/>
      <c r="BE30" s="2"/>
      <c r="BF30" s="1"/>
      <c r="BG30" s="4"/>
      <c r="BH30" s="1"/>
      <c r="BI30" s="4"/>
      <c r="BJ30" s="1"/>
      <c r="BK30" s="4"/>
      <c r="BL30" s="1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11" t="s">
        <v>76</v>
      </c>
      <c r="ER30" s="6">
        <v>78</v>
      </c>
      <c r="ES30" s="1">
        <v>55.581705712667635</v>
      </c>
    </row>
    <row r="31" spans="1:149" ht="18" x14ac:dyDescent="0.35">
      <c r="A31" s="12" t="s">
        <v>74</v>
      </c>
      <c r="B31" s="21" t="s">
        <v>16</v>
      </c>
      <c r="C31" s="21" t="s">
        <v>17</v>
      </c>
      <c r="D31" s="9"/>
      <c r="E31" s="12"/>
      <c r="F31" s="13" t="s">
        <v>15</v>
      </c>
      <c r="G31" s="13" t="s">
        <v>16</v>
      </c>
      <c r="H31" s="13" t="s">
        <v>17</v>
      </c>
      <c r="I31" s="1"/>
      <c r="J31" s="9"/>
      <c r="K31" s="1"/>
      <c r="L31" s="1"/>
      <c r="M31" s="6"/>
      <c r="N31" s="14" t="s">
        <v>15</v>
      </c>
      <c r="O31" s="14" t="s">
        <v>16</v>
      </c>
      <c r="P31" s="14" t="s">
        <v>17</v>
      </c>
      <c r="Q31" s="6"/>
      <c r="R31" s="12"/>
      <c r="S31" s="13" t="s">
        <v>15</v>
      </c>
      <c r="T31" s="13" t="s">
        <v>16</v>
      </c>
      <c r="U31" s="13" t="s">
        <v>17</v>
      </c>
      <c r="V31" s="6"/>
      <c r="W31" s="6"/>
      <c r="X31" s="6"/>
      <c r="Y31" s="6"/>
      <c r="Z31" s="6"/>
      <c r="AA31" s="6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2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1" t="s">
        <v>76</v>
      </c>
      <c r="ER31" s="1">
        <v>75</v>
      </c>
      <c r="ES31" s="1">
        <v>49.83350843944396</v>
      </c>
    </row>
    <row r="32" spans="1:149" ht="18" x14ac:dyDescent="0.35">
      <c r="A32" s="12" t="s">
        <v>75</v>
      </c>
      <c r="B32" s="21" t="s">
        <v>11</v>
      </c>
      <c r="C32" s="21" t="s">
        <v>9</v>
      </c>
      <c r="D32" s="1"/>
      <c r="E32" s="12" t="s">
        <v>0</v>
      </c>
      <c r="F32" s="13">
        <v>20</v>
      </c>
      <c r="G32" s="13">
        <v>15</v>
      </c>
      <c r="H32" s="13">
        <v>10</v>
      </c>
      <c r="I32" s="1"/>
      <c r="J32" s="1"/>
      <c r="K32" s="1"/>
      <c r="L32" s="1"/>
      <c r="M32" s="6">
        <v>1</v>
      </c>
      <c r="N32" s="16" t="s">
        <v>9</v>
      </c>
      <c r="O32" s="16" t="s">
        <v>30</v>
      </c>
      <c r="P32" s="16" t="s">
        <v>26</v>
      </c>
      <c r="Q32" s="6"/>
      <c r="R32" s="12" t="s">
        <v>0</v>
      </c>
      <c r="S32" s="13" t="s">
        <v>35</v>
      </c>
      <c r="T32" s="13" t="s">
        <v>32</v>
      </c>
      <c r="U32" s="13" t="s">
        <v>33</v>
      </c>
      <c r="V32" s="6"/>
      <c r="W32" s="6"/>
      <c r="X32" s="6"/>
      <c r="Y32" s="6"/>
      <c r="Z32" s="6"/>
      <c r="AA32" s="6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6"/>
      <c r="AN32" s="14" t="s">
        <v>15</v>
      </c>
      <c r="AO32" s="14" t="s">
        <v>16</v>
      </c>
      <c r="AP32" s="14" t="s">
        <v>17</v>
      </c>
      <c r="AQ32" s="6"/>
      <c r="AR32" s="12"/>
      <c r="AS32" s="13" t="s">
        <v>15</v>
      </c>
      <c r="AT32" s="13" t="s">
        <v>16</v>
      </c>
      <c r="AU32" s="13" t="s">
        <v>17</v>
      </c>
      <c r="AV32" s="6"/>
      <c r="AW32" s="1"/>
      <c r="AX32" s="1"/>
      <c r="AY32" s="1"/>
      <c r="AZ32" s="6"/>
      <c r="BA32" s="14" t="s">
        <v>15</v>
      </c>
      <c r="BB32" s="14" t="s">
        <v>16</v>
      </c>
      <c r="BC32" s="14" t="s">
        <v>17</v>
      </c>
      <c r="BD32" s="6"/>
      <c r="BE32" s="12"/>
      <c r="BF32" s="13" t="s">
        <v>15</v>
      </c>
      <c r="BG32" s="13" t="s">
        <v>16</v>
      </c>
      <c r="BH32" s="13" t="s">
        <v>17</v>
      </c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6"/>
      <c r="BV32" s="6"/>
      <c r="BW32" s="14" t="s">
        <v>15</v>
      </c>
      <c r="BX32" s="14" t="s">
        <v>16</v>
      </c>
      <c r="BY32" s="14" t="s">
        <v>17</v>
      </c>
      <c r="BZ32" s="6"/>
      <c r="CA32" s="12"/>
      <c r="CB32" s="13" t="s">
        <v>15</v>
      </c>
      <c r="CC32" s="13" t="s">
        <v>16</v>
      </c>
      <c r="CD32" s="13" t="s">
        <v>17</v>
      </c>
      <c r="CE32" s="6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1" t="s">
        <v>76</v>
      </c>
      <c r="ER32" s="1">
        <v>70</v>
      </c>
      <c r="ES32" s="1">
        <v>47</v>
      </c>
    </row>
    <row r="33" spans="1:149" x14ac:dyDescent="0.3">
      <c r="A33" s="10" t="s">
        <v>77</v>
      </c>
      <c r="B33" s="10" t="s">
        <v>78</v>
      </c>
      <c r="C33" s="21" t="s">
        <v>8</v>
      </c>
      <c r="D33" s="1"/>
      <c r="E33" s="12" t="s">
        <v>19</v>
      </c>
      <c r="F33" s="13">
        <v>10</v>
      </c>
      <c r="G33" s="13">
        <v>5</v>
      </c>
      <c r="H33" s="13">
        <v>5</v>
      </c>
      <c r="I33" s="1"/>
      <c r="J33" s="1"/>
      <c r="K33" s="1"/>
      <c r="L33" s="1"/>
      <c r="M33" s="6">
        <v>2</v>
      </c>
      <c r="N33" s="16" t="s">
        <v>7</v>
      </c>
      <c r="O33" s="16" t="s">
        <v>6</v>
      </c>
      <c r="P33" s="16"/>
      <c r="Q33" s="6"/>
      <c r="R33" s="12" t="s">
        <v>19</v>
      </c>
      <c r="S33" s="13">
        <v>10</v>
      </c>
      <c r="T33" s="13">
        <v>10</v>
      </c>
      <c r="U33" s="13">
        <v>5</v>
      </c>
      <c r="V33" s="6"/>
      <c r="W33" s="6"/>
      <c r="X33" s="6"/>
      <c r="Y33" s="6"/>
      <c r="Z33" s="6"/>
      <c r="AA33" s="6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 t="e">
        <f>AM32:AU36</f>
        <v>#VALUE!</v>
      </c>
      <c r="AM33" s="6">
        <v>1</v>
      </c>
      <c r="AN33" s="16" t="s">
        <v>9</v>
      </c>
      <c r="AO33" s="16" t="s">
        <v>30</v>
      </c>
      <c r="AP33" s="16" t="s">
        <v>26</v>
      </c>
      <c r="AQ33" s="6"/>
      <c r="AR33" s="12" t="s">
        <v>0</v>
      </c>
      <c r="AS33" s="13" t="s">
        <v>35</v>
      </c>
      <c r="AT33" s="13" t="s">
        <v>32</v>
      </c>
      <c r="AU33" s="13" t="s">
        <v>33</v>
      </c>
      <c r="AV33" s="6"/>
      <c r="AW33" s="1"/>
      <c r="AX33" s="1"/>
      <c r="AY33" s="1"/>
      <c r="AZ33" s="6">
        <v>1</v>
      </c>
      <c r="BA33" s="16" t="s">
        <v>9</v>
      </c>
      <c r="BB33" s="16" t="s">
        <v>6</v>
      </c>
      <c r="BC33" s="16" t="s">
        <v>37</v>
      </c>
      <c r="BD33" s="6"/>
      <c r="BE33" s="12" t="s">
        <v>0</v>
      </c>
      <c r="BF33" s="13" t="s">
        <v>35</v>
      </c>
      <c r="BG33" s="13" t="s">
        <v>32</v>
      </c>
      <c r="BH33" s="13" t="s">
        <v>39</v>
      </c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6"/>
      <c r="BV33" s="6">
        <v>1</v>
      </c>
      <c r="BW33" s="16" t="s">
        <v>9</v>
      </c>
      <c r="BX33" s="16" t="s">
        <v>6</v>
      </c>
      <c r="BY33" s="16" t="s">
        <v>37</v>
      </c>
      <c r="BZ33" s="6"/>
      <c r="CA33" s="12" t="s">
        <v>0</v>
      </c>
      <c r="CB33" s="13" t="s">
        <v>43</v>
      </c>
      <c r="CC33" s="13" t="s">
        <v>35</v>
      </c>
      <c r="CD33" s="13" t="s">
        <v>44</v>
      </c>
      <c r="CE33" s="6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1" t="s">
        <v>78</v>
      </c>
      <c r="ER33" s="11">
        <v>65</v>
      </c>
      <c r="ES33" s="1">
        <v>47</v>
      </c>
    </row>
    <row r="34" spans="1:149" x14ac:dyDescent="0.3">
      <c r="A34" s="10" t="s">
        <v>79</v>
      </c>
      <c r="B34" s="10" t="s">
        <v>78</v>
      </c>
      <c r="C34" s="21" t="s">
        <v>12</v>
      </c>
      <c r="D34" s="1"/>
      <c r="E34" s="12" t="s">
        <v>20</v>
      </c>
      <c r="F34" s="13">
        <v>5</v>
      </c>
      <c r="G34" s="13">
        <v>5</v>
      </c>
      <c r="H34" s="13">
        <v>0</v>
      </c>
      <c r="I34" s="1"/>
      <c r="J34" s="1"/>
      <c r="K34" s="1"/>
      <c r="L34" s="1"/>
      <c r="M34" s="6">
        <v>3</v>
      </c>
      <c r="N34" s="16" t="s">
        <v>28</v>
      </c>
      <c r="O34" s="16" t="s">
        <v>24</v>
      </c>
      <c r="P34" s="16"/>
      <c r="Q34" s="6"/>
      <c r="R34" s="12" t="s">
        <v>20</v>
      </c>
      <c r="S34" s="13" t="s">
        <v>34</v>
      </c>
      <c r="T34" s="13">
        <v>0</v>
      </c>
      <c r="U34" s="13">
        <v>0</v>
      </c>
      <c r="V34" s="6"/>
      <c r="W34" s="6"/>
      <c r="X34" s="6"/>
      <c r="Y34" s="6"/>
      <c r="Z34" s="6"/>
      <c r="AA34" s="6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6">
        <v>2</v>
      </c>
      <c r="AN34" s="16" t="s">
        <v>7</v>
      </c>
      <c r="AO34" s="16" t="s">
        <v>6</v>
      </c>
      <c r="AP34" s="16"/>
      <c r="AQ34" s="6"/>
      <c r="AR34" s="12" t="s">
        <v>19</v>
      </c>
      <c r="AS34" s="13">
        <v>10</v>
      </c>
      <c r="AT34" s="13">
        <v>10</v>
      </c>
      <c r="AU34" s="13">
        <v>5</v>
      </c>
      <c r="AV34" s="6"/>
      <c r="AW34" s="1"/>
      <c r="AX34" s="1"/>
      <c r="AY34" s="1"/>
      <c r="AZ34" s="6">
        <v>2</v>
      </c>
      <c r="BA34" s="16" t="s">
        <v>7</v>
      </c>
      <c r="BB34" s="16" t="s">
        <v>24</v>
      </c>
      <c r="BC34" s="16" t="s">
        <v>38</v>
      </c>
      <c r="BD34" s="6"/>
      <c r="BE34" s="12" t="s">
        <v>19</v>
      </c>
      <c r="BF34" s="13">
        <v>10</v>
      </c>
      <c r="BG34" s="13">
        <v>10</v>
      </c>
      <c r="BH34" s="13">
        <v>5</v>
      </c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6"/>
      <c r="BV34" s="6">
        <v>2</v>
      </c>
      <c r="BW34" s="16" t="s">
        <v>7</v>
      </c>
      <c r="BX34" s="16" t="s">
        <v>24</v>
      </c>
      <c r="BY34" s="16" t="s">
        <v>38</v>
      </c>
      <c r="BZ34" s="6"/>
      <c r="CA34" s="12" t="s">
        <v>19</v>
      </c>
      <c r="CB34" s="13">
        <v>10</v>
      </c>
      <c r="CC34" s="13">
        <v>10</v>
      </c>
      <c r="CD34" s="13">
        <v>0</v>
      </c>
      <c r="CE34" s="6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1" t="s">
        <v>78</v>
      </c>
      <c r="ER34" s="11">
        <v>70</v>
      </c>
      <c r="ES34" s="1">
        <v>47.44776547571719</v>
      </c>
    </row>
    <row r="35" spans="1:149" x14ac:dyDescent="0.3">
      <c r="A35" s="10" t="s">
        <v>80</v>
      </c>
      <c r="B35" s="10" t="s">
        <v>78</v>
      </c>
      <c r="C35" s="21" t="s">
        <v>18</v>
      </c>
      <c r="D35" s="1"/>
      <c r="E35" s="12" t="s">
        <v>21</v>
      </c>
      <c r="F35" s="13">
        <v>10</v>
      </c>
      <c r="G35" s="13">
        <v>10</v>
      </c>
      <c r="H35" s="13">
        <v>10</v>
      </c>
      <c r="I35" s="1"/>
      <c r="J35" s="1"/>
      <c r="K35" s="1"/>
      <c r="L35" s="1"/>
      <c r="M35" s="6">
        <v>4</v>
      </c>
      <c r="N35" s="16" t="s">
        <v>11</v>
      </c>
      <c r="O35" s="16" t="s">
        <v>23</v>
      </c>
      <c r="P35" s="16"/>
      <c r="Q35" s="6"/>
      <c r="R35" s="12" t="s">
        <v>21</v>
      </c>
      <c r="S35" s="13" t="s">
        <v>27</v>
      </c>
      <c r="T35" s="13" t="s">
        <v>27</v>
      </c>
      <c r="U35" s="13" t="s">
        <v>27</v>
      </c>
      <c r="V35" s="6"/>
      <c r="W35" s="6"/>
      <c r="X35" s="6"/>
      <c r="Y35" s="6"/>
      <c r="Z35" s="6"/>
      <c r="AA35" s="6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6">
        <v>3</v>
      </c>
      <c r="AN35" s="16" t="s">
        <v>28</v>
      </c>
      <c r="AO35" s="16" t="s">
        <v>24</v>
      </c>
      <c r="AP35" s="16"/>
      <c r="AQ35" s="6"/>
      <c r="AR35" s="12" t="s">
        <v>20</v>
      </c>
      <c r="AS35" s="13" t="s">
        <v>34</v>
      </c>
      <c r="AT35" s="13">
        <v>0</v>
      </c>
      <c r="AU35" s="13">
        <v>0</v>
      </c>
      <c r="AV35" s="6"/>
      <c r="AW35" s="1"/>
      <c r="AX35" s="1"/>
      <c r="AY35" s="1"/>
      <c r="AZ35" s="6">
        <v>3</v>
      </c>
      <c r="BA35" s="16" t="s">
        <v>28</v>
      </c>
      <c r="BB35" s="16" t="s">
        <v>31</v>
      </c>
      <c r="BC35" s="16" t="s">
        <v>36</v>
      </c>
      <c r="BD35" s="6"/>
      <c r="BE35" s="12" t="s">
        <v>20</v>
      </c>
      <c r="BF35" s="13" t="s">
        <v>34</v>
      </c>
      <c r="BG35" s="13" t="s">
        <v>34</v>
      </c>
      <c r="BH35" s="13" t="s">
        <v>34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6"/>
      <c r="BV35" s="6">
        <v>3</v>
      </c>
      <c r="BW35" s="16" t="s">
        <v>28</v>
      </c>
      <c r="BX35" s="16" t="s">
        <v>31</v>
      </c>
      <c r="BY35" s="16" t="s">
        <v>36</v>
      </c>
      <c r="BZ35" s="6"/>
      <c r="CA35" s="12" t="s">
        <v>20</v>
      </c>
      <c r="CB35" s="13" t="s">
        <v>34</v>
      </c>
      <c r="CC35" s="13" t="s">
        <v>34</v>
      </c>
      <c r="CD35" s="13" t="s">
        <v>34</v>
      </c>
      <c r="CE35" s="6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1" t="s">
        <v>78</v>
      </c>
      <c r="ER35" s="11">
        <v>84.48</v>
      </c>
      <c r="ES35" s="1">
        <v>54.13337225178492</v>
      </c>
    </row>
    <row r="36" spans="1:149" x14ac:dyDescent="0.3">
      <c r="A36" s="10" t="s">
        <v>81</v>
      </c>
      <c r="B36" s="10" t="s">
        <v>78</v>
      </c>
      <c r="C36" s="21" t="s">
        <v>10</v>
      </c>
      <c r="D36" s="1"/>
      <c r="E36" s="1"/>
      <c r="F36" s="1"/>
      <c r="G36" s="1"/>
      <c r="H36" s="1"/>
      <c r="I36" s="1"/>
      <c r="J36" s="1"/>
      <c r="K36" s="1"/>
      <c r="L36" s="1"/>
      <c r="M36" s="6">
        <v>5</v>
      </c>
      <c r="N36" s="16" t="s">
        <v>5</v>
      </c>
      <c r="O36" s="16" t="s">
        <v>31</v>
      </c>
      <c r="P36" s="1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6">
        <v>4</v>
      </c>
      <c r="AN36" s="16" t="s">
        <v>11</v>
      </c>
      <c r="AO36" s="16" t="s">
        <v>23</v>
      </c>
      <c r="AP36" s="16"/>
      <c r="AQ36" s="6"/>
      <c r="AR36" s="12" t="s">
        <v>21</v>
      </c>
      <c r="AS36" s="13" t="s">
        <v>27</v>
      </c>
      <c r="AT36" s="13" t="s">
        <v>27</v>
      </c>
      <c r="AU36" s="13" t="s">
        <v>27</v>
      </c>
      <c r="AV36" s="6"/>
      <c r="AW36" s="1"/>
      <c r="AX36" s="1"/>
      <c r="AY36" s="1"/>
      <c r="AZ36" s="6">
        <v>4</v>
      </c>
      <c r="BA36" s="16" t="s">
        <v>11</v>
      </c>
      <c r="BB36" s="17" t="s">
        <v>25</v>
      </c>
      <c r="BC36" s="16" t="s">
        <v>26</v>
      </c>
      <c r="BD36" s="6"/>
      <c r="BE36" s="12" t="s">
        <v>21</v>
      </c>
      <c r="BF36" s="13" t="s">
        <v>40</v>
      </c>
      <c r="BG36" s="13" t="s">
        <v>40</v>
      </c>
      <c r="BH36" s="13" t="s">
        <v>40</v>
      </c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6"/>
      <c r="BV36" s="6">
        <v>4</v>
      </c>
      <c r="BW36" s="16" t="s">
        <v>11</v>
      </c>
      <c r="BX36" s="17" t="s">
        <v>25</v>
      </c>
      <c r="BY36" s="16" t="s">
        <v>26</v>
      </c>
      <c r="BZ36" s="6"/>
      <c r="CA36" s="12" t="s">
        <v>21</v>
      </c>
      <c r="CB36" s="13" t="s">
        <v>42</v>
      </c>
      <c r="CC36" s="13" t="s">
        <v>42</v>
      </c>
      <c r="CD36" s="13" t="s">
        <v>42</v>
      </c>
      <c r="CE36" s="6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1" t="s">
        <v>78</v>
      </c>
      <c r="ER36" s="11">
        <v>77.989999999999995</v>
      </c>
      <c r="ES36" s="1">
        <v>51.069611948526017</v>
      </c>
    </row>
    <row r="37" spans="1:149" s="3" customFormat="1" x14ac:dyDescent="0.3">
      <c r="A37" s="10" t="s">
        <v>82</v>
      </c>
      <c r="B37" s="10" t="s">
        <v>78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6</v>
      </c>
      <c r="N37" s="16" t="s">
        <v>29</v>
      </c>
      <c r="O37" s="17" t="s">
        <v>25</v>
      </c>
      <c r="P37" s="17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5</v>
      </c>
      <c r="AN37" s="16" t="s">
        <v>5</v>
      </c>
      <c r="AO37" s="16" t="s">
        <v>31</v>
      </c>
      <c r="AP37" s="16"/>
      <c r="AQ37" s="6"/>
      <c r="AR37" s="6"/>
      <c r="AS37" s="6"/>
      <c r="AT37" s="6"/>
      <c r="AU37" s="6"/>
      <c r="AV37" s="6"/>
      <c r="AW37" s="6"/>
      <c r="AX37" s="6"/>
      <c r="AY37" s="6"/>
      <c r="AZ37" s="6">
        <v>5</v>
      </c>
      <c r="BA37" s="16" t="s">
        <v>5</v>
      </c>
      <c r="BB37" s="17" t="s">
        <v>22</v>
      </c>
      <c r="BC37" s="1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>
        <v>5</v>
      </c>
      <c r="BW37" s="16" t="s">
        <v>5</v>
      </c>
      <c r="BX37" s="17"/>
      <c r="BY37" s="1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11" t="s">
        <v>78</v>
      </c>
      <c r="ER37" s="11">
        <v>106.13</v>
      </c>
      <c r="ES37" s="6">
        <v>53.133079800259182</v>
      </c>
    </row>
    <row r="38" spans="1:149" ht="18" x14ac:dyDescent="0.35">
      <c r="A38" s="10" t="s">
        <v>83</v>
      </c>
      <c r="B38" s="10" t="s">
        <v>78</v>
      </c>
      <c r="C38" s="14" t="s">
        <v>17</v>
      </c>
      <c r="D38" s="6"/>
      <c r="E38" s="12"/>
      <c r="F38" s="13" t="s">
        <v>15</v>
      </c>
      <c r="G38" s="13" t="s">
        <v>16</v>
      </c>
      <c r="H38" s="13" t="s">
        <v>17</v>
      </c>
      <c r="I38" s="6"/>
      <c r="J38" s="1"/>
      <c r="K38" s="1"/>
      <c r="L38" s="1"/>
      <c r="M38" s="6">
        <v>7</v>
      </c>
      <c r="N38" s="17" t="s">
        <v>12</v>
      </c>
      <c r="O38" s="17"/>
      <c r="P38" s="17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6">
        <v>6</v>
      </c>
      <c r="AN38" s="16" t="s">
        <v>29</v>
      </c>
      <c r="AO38" s="17" t="s">
        <v>25</v>
      </c>
      <c r="AP38" s="17"/>
      <c r="AQ38" s="6"/>
      <c r="AR38" s="6"/>
      <c r="AS38" s="6"/>
      <c r="AT38" s="6"/>
      <c r="AU38" s="6"/>
      <c r="AV38" s="6"/>
      <c r="AW38" s="1"/>
      <c r="AX38" s="1"/>
      <c r="AY38" s="1"/>
      <c r="AZ38" s="6">
        <v>6</v>
      </c>
      <c r="BA38" s="16" t="s">
        <v>29</v>
      </c>
      <c r="BB38" s="17" t="s">
        <v>24</v>
      </c>
      <c r="BC38" s="17"/>
      <c r="BD38" s="6"/>
      <c r="BE38" s="6"/>
      <c r="BF38" s="6"/>
      <c r="BG38" s="6"/>
      <c r="BH38" s="6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6"/>
      <c r="BV38" s="6">
        <v>6</v>
      </c>
      <c r="BW38" s="16" t="s">
        <v>29</v>
      </c>
      <c r="BX38" s="23"/>
      <c r="BY38" s="17"/>
      <c r="BZ38" s="6"/>
      <c r="CA38" s="6"/>
      <c r="CB38" s="6"/>
      <c r="CC38" s="6"/>
      <c r="CD38" s="6"/>
      <c r="CE38" s="6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1" t="s">
        <v>78</v>
      </c>
      <c r="ER38" s="11">
        <v>75</v>
      </c>
      <c r="ES38" s="1">
        <v>49.47395712572834</v>
      </c>
    </row>
    <row r="39" spans="1:149" x14ac:dyDescent="0.3">
      <c r="A39" s="10" t="s">
        <v>84</v>
      </c>
      <c r="B39" s="10" t="s">
        <v>78</v>
      </c>
      <c r="C39" s="15" t="s">
        <v>26</v>
      </c>
      <c r="D39" s="6"/>
      <c r="E39" s="12" t="s">
        <v>0</v>
      </c>
      <c r="F39" s="13">
        <v>20</v>
      </c>
      <c r="G39" s="13">
        <v>10</v>
      </c>
      <c r="H39" s="13">
        <v>0</v>
      </c>
      <c r="I39" s="6"/>
      <c r="J39" s="1"/>
      <c r="K39" s="1"/>
      <c r="L39" s="1"/>
      <c r="M39" s="6">
        <v>8</v>
      </c>
      <c r="N39" s="21"/>
      <c r="O39" s="21"/>
      <c r="P39" s="21"/>
      <c r="Q39" s="6"/>
      <c r="R39" s="6"/>
      <c r="S39" s="6"/>
      <c r="T39" s="6"/>
      <c r="U39" s="6"/>
      <c r="V39" s="6"/>
      <c r="W39" s="6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6">
        <v>7</v>
      </c>
      <c r="AN39" s="17" t="s">
        <v>12</v>
      </c>
      <c r="AO39" s="17"/>
      <c r="AP39" s="17"/>
      <c r="AQ39" s="6"/>
      <c r="AR39" s="6"/>
      <c r="AS39" s="6"/>
      <c r="AT39" s="6"/>
      <c r="AU39" s="6"/>
      <c r="AV39" s="6"/>
      <c r="AW39" s="1"/>
      <c r="AX39" s="1"/>
      <c r="AY39" s="1"/>
      <c r="AZ39" s="6">
        <v>7</v>
      </c>
      <c r="BA39" s="17" t="s">
        <v>12</v>
      </c>
      <c r="BB39" s="17" t="s">
        <v>41</v>
      </c>
      <c r="BC39" s="17"/>
      <c r="BD39" s="6"/>
      <c r="BE39" s="6"/>
      <c r="BF39" s="6"/>
      <c r="BG39" s="6"/>
      <c r="BH39" s="6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6"/>
      <c r="BV39" s="6">
        <v>7</v>
      </c>
      <c r="BW39" s="17" t="s">
        <v>12</v>
      </c>
      <c r="BX39" s="17"/>
      <c r="BY39" s="17"/>
      <c r="BZ39" s="6"/>
      <c r="CA39" s="6"/>
      <c r="CB39" s="6"/>
      <c r="CC39" s="6"/>
      <c r="CD39" s="6"/>
      <c r="CE39" s="6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1" t="s">
        <v>78</v>
      </c>
      <c r="ER39" s="11">
        <v>75</v>
      </c>
      <c r="ES39" s="1">
        <v>49.432629641598247</v>
      </c>
    </row>
    <row r="40" spans="1:149" x14ac:dyDescent="0.3">
      <c r="A40" s="10" t="s">
        <v>85</v>
      </c>
      <c r="B40" s="10" t="s">
        <v>78</v>
      </c>
      <c r="C40" s="15" t="s">
        <v>6</v>
      </c>
      <c r="D40" s="6"/>
      <c r="E40" s="12" t="s">
        <v>19</v>
      </c>
      <c r="F40" s="13">
        <v>10</v>
      </c>
      <c r="G40" s="13">
        <v>5</v>
      </c>
      <c r="H40" s="13">
        <v>5</v>
      </c>
      <c r="I40" s="6"/>
      <c r="J40" s="1"/>
      <c r="K40" s="1"/>
      <c r="L40" s="1"/>
      <c r="M40" s="6">
        <v>9</v>
      </c>
      <c r="N40" s="21"/>
      <c r="O40" s="21"/>
      <c r="P40" s="21"/>
      <c r="Q40" s="6"/>
      <c r="R40" s="6"/>
      <c r="S40" s="6"/>
      <c r="T40" s="6"/>
      <c r="U40" s="6"/>
      <c r="V40" s="6"/>
      <c r="W40" s="6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6">
        <v>8</v>
      </c>
      <c r="AN40" s="21"/>
      <c r="AO40" s="21"/>
      <c r="AP40" s="21"/>
      <c r="AQ40" s="6"/>
      <c r="AR40" s="6"/>
      <c r="AS40" s="6"/>
      <c r="AT40" s="6"/>
      <c r="AU40" s="6"/>
      <c r="AV40" s="6"/>
      <c r="AW40" s="1"/>
      <c r="AX40" s="1"/>
      <c r="AY40" s="1"/>
      <c r="AZ40" s="6">
        <v>8</v>
      </c>
      <c r="BA40" s="21"/>
      <c r="BB40" s="21"/>
      <c r="BC40" s="21"/>
      <c r="BD40" s="6"/>
      <c r="BE40" s="6"/>
      <c r="BF40" s="6"/>
      <c r="BG40" s="6"/>
      <c r="BH40" s="6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6"/>
      <c r="BV40" s="6">
        <v>8</v>
      </c>
      <c r="BW40" s="21"/>
      <c r="BX40" s="21"/>
      <c r="BY40" s="21"/>
      <c r="BZ40" s="6"/>
      <c r="CA40" s="6"/>
      <c r="CB40" s="6"/>
      <c r="CC40" s="6"/>
      <c r="CD40" s="6"/>
      <c r="CE40" s="6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1" t="s">
        <v>78</v>
      </c>
      <c r="ER40" s="11">
        <v>70</v>
      </c>
      <c r="ES40" s="1">
        <v>53.533958598104903</v>
      </c>
    </row>
    <row r="41" spans="1:149" x14ac:dyDescent="0.3">
      <c r="A41" s="10" t="s">
        <v>86</v>
      </c>
      <c r="B41" s="10" t="s">
        <v>78</v>
      </c>
      <c r="C41" s="5"/>
      <c r="D41" s="6"/>
      <c r="E41" s="12" t="s">
        <v>20</v>
      </c>
      <c r="F41" s="13">
        <v>5</v>
      </c>
      <c r="G41" s="13">
        <v>0</v>
      </c>
      <c r="H41" s="13">
        <v>0</v>
      </c>
      <c r="I41" s="6"/>
      <c r="J41" s="1"/>
      <c r="K41" s="1"/>
      <c r="L41" s="1"/>
      <c r="M41" s="6">
        <v>10</v>
      </c>
      <c r="N41" s="21"/>
      <c r="O41" s="21"/>
      <c r="P41" s="2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6">
        <v>9</v>
      </c>
      <c r="AN41" s="21"/>
      <c r="AO41" s="21"/>
      <c r="AP41" s="21"/>
      <c r="AQ41" s="6"/>
      <c r="AR41" s="6"/>
      <c r="AS41" s="6"/>
      <c r="AT41" s="6"/>
      <c r="AU41" s="6"/>
      <c r="AV41" s="6"/>
      <c r="AW41" s="1"/>
      <c r="AX41" s="1"/>
      <c r="AY41" s="1"/>
      <c r="AZ41" s="6">
        <v>9</v>
      </c>
      <c r="BA41" s="21"/>
      <c r="BB41" s="21"/>
      <c r="BC41" s="21"/>
      <c r="BD41" s="6"/>
      <c r="BE41" s="6"/>
      <c r="BF41" s="6"/>
      <c r="BG41" s="6"/>
      <c r="BH41" s="6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6"/>
      <c r="BV41" s="6">
        <v>9</v>
      </c>
      <c r="BW41" s="21"/>
      <c r="BX41" s="21"/>
      <c r="BY41" s="21"/>
      <c r="BZ41" s="6"/>
      <c r="CA41" s="6"/>
      <c r="CB41" s="6"/>
      <c r="CC41" s="6"/>
      <c r="CD41" s="6"/>
      <c r="CE41" s="6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1" t="s">
        <v>78</v>
      </c>
      <c r="ER41" s="11">
        <v>77.989999999999995</v>
      </c>
      <c r="ES41" s="1">
        <v>50.582269096242982</v>
      </c>
    </row>
    <row r="42" spans="1:149" x14ac:dyDescent="0.3">
      <c r="A42" s="9" t="s">
        <v>87</v>
      </c>
      <c r="B42" s="10" t="s">
        <v>78</v>
      </c>
      <c r="C42" s="5"/>
      <c r="D42" s="6"/>
      <c r="E42" s="12" t="s">
        <v>21</v>
      </c>
      <c r="F42" s="13">
        <v>12</v>
      </c>
      <c r="G42" s="13">
        <v>12</v>
      </c>
      <c r="H42" s="13">
        <v>0</v>
      </c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6">
        <v>10</v>
      </c>
      <c r="AN42" s="21"/>
      <c r="AO42" s="21"/>
      <c r="AP42" s="21"/>
      <c r="AQ42" s="1"/>
      <c r="AR42" s="1"/>
      <c r="AS42" s="1"/>
      <c r="AT42" s="1"/>
      <c r="AU42" s="1"/>
      <c r="AV42" s="1"/>
      <c r="AW42" s="1"/>
      <c r="AX42" s="1"/>
      <c r="AY42" s="1"/>
      <c r="AZ42" s="6">
        <v>10</v>
      </c>
      <c r="BA42" s="21"/>
      <c r="BB42" s="21"/>
      <c r="BC42" s="2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1" t="s">
        <v>78</v>
      </c>
      <c r="ER42" s="11">
        <v>80</v>
      </c>
      <c r="ES42" s="1">
        <v>53.518237860934484</v>
      </c>
    </row>
    <row r="43" spans="1:149" x14ac:dyDescent="0.3">
      <c r="A43" s="9" t="s">
        <v>88</v>
      </c>
      <c r="B43" s="10" t="s">
        <v>78</v>
      </c>
      <c r="C43" s="5"/>
      <c r="D43" s="6"/>
      <c r="E43" s="6"/>
      <c r="F43" s="6"/>
      <c r="G43" s="6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1" t="s">
        <v>78</v>
      </c>
      <c r="ER43" s="11">
        <v>75</v>
      </c>
      <c r="ES43" s="1">
        <v>52.195670297415127</v>
      </c>
    </row>
    <row r="44" spans="1:149" x14ac:dyDescent="0.3">
      <c r="A44" s="18" t="s">
        <v>89</v>
      </c>
      <c r="B44" s="10" t="s">
        <v>78</v>
      </c>
      <c r="C44" s="5"/>
      <c r="D44" s="6"/>
      <c r="E44" s="6"/>
      <c r="F44" s="6"/>
      <c r="G44" s="6"/>
      <c r="H44" s="6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1" t="s">
        <v>78</v>
      </c>
      <c r="ER44" s="11">
        <v>80</v>
      </c>
      <c r="ES44" s="1">
        <v>51.134520538411728</v>
      </c>
    </row>
    <row r="45" spans="1:149" x14ac:dyDescent="0.3">
      <c r="A45" s="18" t="s">
        <v>90</v>
      </c>
      <c r="B45" s="10" t="s">
        <v>78</v>
      </c>
      <c r="C45" s="6"/>
      <c r="D45" s="6"/>
      <c r="E45" s="6"/>
      <c r="F45" s="6"/>
      <c r="G45" s="6"/>
      <c r="H45" s="6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1" t="s">
        <v>78</v>
      </c>
      <c r="ER45" s="11">
        <v>77.989999999999995</v>
      </c>
      <c r="ES45" s="1">
        <v>50.5</v>
      </c>
    </row>
    <row r="46" spans="1:149" x14ac:dyDescent="0.3">
      <c r="A46" s="18" t="s">
        <v>91</v>
      </c>
      <c r="B46" s="10" t="s">
        <v>78</v>
      </c>
      <c r="C46" s="6"/>
      <c r="D46" s="6"/>
      <c r="E46" s="6"/>
      <c r="F46" s="6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1" t="s">
        <v>78</v>
      </c>
      <c r="ER46" s="11">
        <v>70</v>
      </c>
      <c r="ES46" s="1">
        <v>47</v>
      </c>
    </row>
    <row r="47" spans="1:149" x14ac:dyDescent="0.3">
      <c r="A47" s="18" t="s">
        <v>92</v>
      </c>
      <c r="B47" s="10" t="s">
        <v>78</v>
      </c>
      <c r="C47" s="6"/>
      <c r="D47" s="6"/>
      <c r="E47" s="6"/>
      <c r="F47" s="6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1" t="s">
        <v>78</v>
      </c>
      <c r="ER47" s="11">
        <v>75</v>
      </c>
      <c r="ES47" s="1">
        <v>49</v>
      </c>
    </row>
    <row r="48" spans="1:149" x14ac:dyDescent="0.3">
      <c r="A48" s="18" t="s">
        <v>93</v>
      </c>
      <c r="B48" s="10" t="s">
        <v>78</v>
      </c>
      <c r="C48" s="6"/>
      <c r="D48" s="6"/>
      <c r="E48" s="6"/>
      <c r="F48" s="6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1" t="s">
        <v>78</v>
      </c>
      <c r="ER48" s="11">
        <v>70</v>
      </c>
      <c r="ES48" s="1">
        <v>51</v>
      </c>
    </row>
    <row r="49" spans="1:149" x14ac:dyDescent="0.3">
      <c r="A49" s="9" t="s">
        <v>94</v>
      </c>
      <c r="B49" s="10" t="s">
        <v>78</v>
      </c>
      <c r="C49" s="6"/>
      <c r="D49" s="6"/>
      <c r="E49" s="6"/>
      <c r="F49" s="6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1" t="s">
        <v>78</v>
      </c>
      <c r="ER49" s="11">
        <v>65</v>
      </c>
      <c r="ES49" s="1">
        <v>53.250985329037341</v>
      </c>
    </row>
    <row r="50" spans="1:149" x14ac:dyDescent="0.3">
      <c r="A50" s="18" t="s">
        <v>55</v>
      </c>
      <c r="B50" s="10" t="s">
        <v>78</v>
      </c>
      <c r="C50" s="6"/>
      <c r="D50" s="6"/>
      <c r="E50" s="6"/>
      <c r="F50" s="6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1" t="s">
        <v>78</v>
      </c>
      <c r="ER50" s="11">
        <v>80.150000000000006</v>
      </c>
      <c r="ES50" s="1">
        <v>52.299880730226882</v>
      </c>
    </row>
    <row r="51" spans="1:149" x14ac:dyDescent="0.3">
      <c r="A51" s="18" t="s">
        <v>95</v>
      </c>
      <c r="B51" s="10" t="s">
        <v>78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1" t="s">
        <v>78</v>
      </c>
      <c r="ER51" s="11">
        <v>82.32</v>
      </c>
      <c r="ES51" s="1">
        <v>53.156660906014807</v>
      </c>
    </row>
    <row r="52" spans="1:149" x14ac:dyDescent="0.3">
      <c r="A52" s="18" t="s">
        <v>96</v>
      </c>
      <c r="B52" s="10" t="s">
        <v>78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1" t="s">
        <v>78</v>
      </c>
      <c r="ER52" s="11">
        <v>82</v>
      </c>
      <c r="ES52" s="1">
        <v>51.132494897207707</v>
      </c>
    </row>
    <row r="53" spans="1:149" x14ac:dyDescent="0.3">
      <c r="A53" s="18" t="s">
        <v>97</v>
      </c>
      <c r="B53" s="10" t="s">
        <v>78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1" t="s">
        <v>78</v>
      </c>
      <c r="ER53" s="11">
        <v>65</v>
      </c>
      <c r="ES53" s="1">
        <v>55.754633821542257</v>
      </c>
    </row>
    <row r="54" spans="1:149" x14ac:dyDescent="0.3">
      <c r="A54" s="18" t="s">
        <v>98</v>
      </c>
      <c r="B54" s="10" t="s">
        <v>78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1" t="s">
        <v>78</v>
      </c>
      <c r="ER54" s="11">
        <v>70</v>
      </c>
      <c r="ES54" s="1">
        <v>47</v>
      </c>
    </row>
    <row r="55" spans="1:149" x14ac:dyDescent="0.3">
      <c r="A55" s="18" t="s">
        <v>99</v>
      </c>
      <c r="B55" s="10" t="s">
        <v>78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1" t="s">
        <v>78</v>
      </c>
      <c r="ER55" s="11">
        <v>70</v>
      </c>
      <c r="ES55" s="1">
        <v>48</v>
      </c>
    </row>
    <row r="56" spans="1:149" x14ac:dyDescent="0.3">
      <c r="A56" s="18" t="s">
        <v>100</v>
      </c>
      <c r="B56" s="10" t="s">
        <v>78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1" t="s">
        <v>78</v>
      </c>
      <c r="ER56" s="11">
        <v>90</v>
      </c>
      <c r="ES56" s="1">
        <v>51.598282284939138</v>
      </c>
    </row>
    <row r="57" spans="1:149" x14ac:dyDescent="0.3">
      <c r="A57" s="18" t="s">
        <v>101</v>
      </c>
      <c r="B57" s="10" t="s">
        <v>78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1" t="s">
        <v>78</v>
      </c>
      <c r="ER57" s="11">
        <v>75</v>
      </c>
      <c r="ES57" s="1">
        <v>50</v>
      </c>
    </row>
    <row r="58" spans="1:149" x14ac:dyDescent="0.3">
      <c r="A58" s="18" t="s">
        <v>102</v>
      </c>
      <c r="B58" s="10" t="s">
        <v>78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1" t="s">
        <v>78</v>
      </c>
      <c r="ER58" s="11">
        <v>92.32</v>
      </c>
      <c r="ES58" s="1">
        <v>55.581705712667635</v>
      </c>
    </row>
    <row r="59" spans="1:149" x14ac:dyDescent="0.3">
      <c r="A59" s="18" t="s">
        <v>103</v>
      </c>
      <c r="B59" s="10" t="s">
        <v>78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1" t="s">
        <v>78</v>
      </c>
      <c r="ER59" s="11">
        <v>80</v>
      </c>
      <c r="ES59" s="1">
        <v>49.83350843944396</v>
      </c>
    </row>
    <row r="60" spans="1:149" x14ac:dyDescent="0.3">
      <c r="EQ60" s="19"/>
      <c r="ER60" s="20"/>
    </row>
  </sheetData>
  <phoneticPr fontId="3" type="noConversion"/>
  <conditionalFormatting sqref="C2:C3 CA12 CC12 AD15:AD21 AM15:AM21 AV15:AV21 BG2:BG15 BI2:BI15 BK2:BK15 BP2:BP15 BR12:BR15 BT12:BT15 BY2:BY15 CA14:CA15 CC14:CC15 E2:E18 G2:G18 I2:I18 N2:N19 P2:P19 R2:R19 Y2:Y19 AA2:AA19 W2:W19 AJ2:AJ21 AF2:AF21 AH2:AH21 AO2:AO30 AQ2:AQ30 AS2:AS30 AX2:AX30 AZ2:AZ30 BB2:BB30 C5:C18 L14:L19 U14:U19 CJ14:CJ15 CL14:CL15 CH2:CH15 CS14:CS15 CU14:CU15 CQ2:CQ15 DB14:DB15 DD14:DD15 CZ2:CZ15 DK14 DM14 DI12:DI14 DT14 DV14 DR12:DR14 EC14 EE14 EA14">
    <cfRule type="cellIs" dxfId="1565" priority="3342" operator="lessThan">
      <formula>74.98</formula>
    </cfRule>
  </conditionalFormatting>
  <conditionalFormatting sqref="C2:C3 CA12 CC12 AD15:AD21 AM15:AM21 AV15:AV21 BG2:BG15 BI2:BI15 BK2:BK15 BP2:BP15 BR12:BR15 BT12:BT15 BY2:BY15 CA14:CA15 CC14:CC15 E2:E18 G2:G18 I2:I18 N2:N19 P2:P19 R2:R19 Y2:Y19 AA2:AA19 W2:W19 AJ2:AJ21 AF2:AF21 AH2:AH21 AO2:AO30 AQ2:AQ30 AS2:AS30 AX2:AX30 AZ2:AZ30 BB2:BB30 C5:C18 L14:L19 U14:U19 CJ14:CJ15 CL14:CL15 CH2:CH15 CS14:CS15 CU14:CU15 CQ2:CQ15 DB14:DB15 DD14:DD15 CZ2:CZ15 DK14 DM14 DI12:DI14 DT14 DV14 DR12:DR14 EC14 EE14 EA14">
    <cfRule type="cellIs" dxfId="1564" priority="3340" operator="between">
      <formula>69.43</formula>
      <formula>80.55</formula>
    </cfRule>
    <cfRule type="cellIs" dxfId="1563" priority="3341" operator="greaterThan">
      <formula>80.55</formula>
    </cfRule>
  </conditionalFormatting>
  <conditionalFormatting sqref="AD4">
    <cfRule type="cellIs" dxfId="1562" priority="1956" operator="lessThan">
      <formula>74.98</formula>
    </cfRule>
  </conditionalFormatting>
  <conditionalFormatting sqref="AD4">
    <cfRule type="cellIs" dxfId="1561" priority="1954" operator="between">
      <formula>69.43</formula>
      <formula>80.55</formula>
    </cfRule>
    <cfRule type="cellIs" dxfId="1560" priority="1955" operator="greaterThan">
      <formula>80.55</formula>
    </cfRule>
  </conditionalFormatting>
  <conditionalFormatting sqref="AD12">
    <cfRule type="cellIs" dxfId="1559" priority="1953" operator="lessThan">
      <formula>74.98</formula>
    </cfRule>
  </conditionalFormatting>
  <conditionalFormatting sqref="AD12">
    <cfRule type="cellIs" dxfId="1558" priority="1951" operator="between">
      <formula>69.43</formula>
      <formula>80.55</formula>
    </cfRule>
    <cfRule type="cellIs" dxfId="1557" priority="1952" operator="greaterThan">
      <formula>80.55</formula>
    </cfRule>
  </conditionalFormatting>
  <conditionalFormatting sqref="AD13">
    <cfRule type="cellIs" dxfId="1556" priority="1950" operator="lessThan">
      <formula>74.98</formula>
    </cfRule>
  </conditionalFormatting>
  <conditionalFormatting sqref="AD13">
    <cfRule type="cellIs" dxfId="1555" priority="1948" operator="between">
      <formula>69.43</formula>
      <formula>80.55</formula>
    </cfRule>
    <cfRule type="cellIs" dxfId="1554" priority="1949" operator="greaterThan">
      <formula>80.55</formula>
    </cfRule>
  </conditionalFormatting>
  <conditionalFormatting sqref="AD14">
    <cfRule type="cellIs" dxfId="1553" priority="1944" operator="lessThan">
      <formula>74.98</formula>
    </cfRule>
  </conditionalFormatting>
  <conditionalFormatting sqref="AD14">
    <cfRule type="cellIs" dxfId="1552" priority="1942" operator="between">
      <formula>69.43</formula>
      <formula>80.55</formula>
    </cfRule>
    <cfRule type="cellIs" dxfId="1551" priority="1943" operator="greaterThan">
      <formula>80.55</formula>
    </cfRule>
  </conditionalFormatting>
  <conditionalFormatting sqref="AM2:AM3 AM5:AM8 AM15 AM10:AM11">
    <cfRule type="cellIs" dxfId="1550" priority="1941" operator="lessThan">
      <formula>74.98</formula>
    </cfRule>
  </conditionalFormatting>
  <conditionalFormatting sqref="AM2:AM3 AM5:AM8 AM15 AM10:AM11">
    <cfRule type="cellIs" dxfId="1549" priority="1939" operator="between">
      <formula>69.43</formula>
      <formula>80.55</formula>
    </cfRule>
    <cfRule type="cellIs" dxfId="1548" priority="1940" operator="greaterThan">
      <formula>80.55</formula>
    </cfRule>
  </conditionalFormatting>
  <conditionalFormatting sqref="AM4">
    <cfRule type="cellIs" dxfId="1547" priority="1932" operator="lessThan">
      <formula>74.98</formula>
    </cfRule>
  </conditionalFormatting>
  <conditionalFormatting sqref="AM4">
    <cfRule type="cellIs" dxfId="1546" priority="1930" operator="between">
      <formula>69.43</formula>
      <formula>80.55</formula>
    </cfRule>
    <cfRule type="cellIs" dxfId="1545" priority="1931" operator="greaterThan">
      <formula>80.55</formula>
    </cfRule>
  </conditionalFormatting>
  <conditionalFormatting sqref="AM12">
    <cfRule type="cellIs" dxfId="1544" priority="1929" operator="lessThan">
      <formula>74.98</formula>
    </cfRule>
  </conditionalFormatting>
  <conditionalFormatting sqref="AM12">
    <cfRule type="cellIs" dxfId="1543" priority="1927" operator="between">
      <formula>69.43</formula>
      <formula>80.55</formula>
    </cfRule>
    <cfRule type="cellIs" dxfId="1542" priority="1928" operator="greaterThan">
      <formula>80.55</formula>
    </cfRule>
  </conditionalFormatting>
  <conditionalFormatting sqref="AM13">
    <cfRule type="cellIs" dxfId="1541" priority="1926" operator="lessThan">
      <formula>74.98</formula>
    </cfRule>
  </conditionalFormatting>
  <conditionalFormatting sqref="AM13">
    <cfRule type="cellIs" dxfId="1540" priority="1924" operator="between">
      <formula>69.43</formula>
      <formula>80.55</formula>
    </cfRule>
    <cfRule type="cellIs" dxfId="1539" priority="1925" operator="greaterThan">
      <formula>80.55</formula>
    </cfRule>
  </conditionalFormatting>
  <conditionalFormatting sqref="AM14">
    <cfRule type="cellIs" dxfId="1538" priority="1923" operator="lessThan">
      <formula>74.98</formula>
    </cfRule>
  </conditionalFormatting>
  <conditionalFormatting sqref="AM14">
    <cfRule type="cellIs" dxfId="1537" priority="1921" operator="between">
      <formula>69.43</formula>
      <formula>80.55</formula>
    </cfRule>
    <cfRule type="cellIs" dxfId="1536" priority="1922" operator="greaterThan">
      <formula>80.55</formula>
    </cfRule>
  </conditionalFormatting>
  <conditionalFormatting sqref="AM14">
    <cfRule type="cellIs" dxfId="1535" priority="1920" operator="lessThan">
      <formula>74.98</formula>
    </cfRule>
  </conditionalFormatting>
  <conditionalFormatting sqref="AM14">
    <cfRule type="cellIs" dxfId="1534" priority="1918" operator="between">
      <formula>69.43</formula>
      <formula>80.55</formula>
    </cfRule>
    <cfRule type="cellIs" dxfId="1533" priority="1919" operator="greaterThan">
      <formula>80.55</formula>
    </cfRule>
  </conditionalFormatting>
  <conditionalFormatting sqref="AM9">
    <cfRule type="cellIs" dxfId="1532" priority="1917" operator="lessThan">
      <formula>74.98</formula>
    </cfRule>
  </conditionalFormatting>
  <conditionalFormatting sqref="AM9">
    <cfRule type="cellIs" dxfId="1531" priority="1915" operator="between">
      <formula>69.43</formula>
      <formula>80.55</formula>
    </cfRule>
    <cfRule type="cellIs" dxfId="1530" priority="1916" operator="greaterThan">
      <formula>80.55</formula>
    </cfRule>
  </conditionalFormatting>
  <conditionalFormatting sqref="AM23:AM30">
    <cfRule type="cellIs" dxfId="1529" priority="1911" operator="lessThan">
      <formula>74.98</formula>
    </cfRule>
  </conditionalFormatting>
  <conditionalFormatting sqref="AM23:AM30">
    <cfRule type="cellIs" dxfId="1528" priority="1909" operator="between">
      <formula>69.43</formula>
      <formula>80.55</formula>
    </cfRule>
    <cfRule type="cellIs" dxfId="1527" priority="1910" operator="greaterThan">
      <formula>80.55</formula>
    </cfRule>
  </conditionalFormatting>
  <conditionalFormatting sqref="AM22">
    <cfRule type="cellIs" dxfId="1526" priority="1908" operator="lessThan">
      <formula>74.98</formula>
    </cfRule>
  </conditionalFormatting>
  <conditionalFormatting sqref="AM22">
    <cfRule type="cellIs" dxfId="1525" priority="1906" operator="between">
      <formula>69.43</formula>
      <formula>80.55</formula>
    </cfRule>
    <cfRule type="cellIs" dxfId="1524" priority="1907" operator="greaterThan">
      <formula>80.55</formula>
    </cfRule>
  </conditionalFormatting>
  <conditionalFormatting sqref="AV2:AV3 AV5:AV8 AV15 AV10:AV11">
    <cfRule type="cellIs" dxfId="1523" priority="1905" operator="lessThan">
      <formula>74.98</formula>
    </cfRule>
  </conditionalFormatting>
  <conditionalFormatting sqref="AV2:AV3 AV5:AV8 AV15 AV10:AV11">
    <cfRule type="cellIs" dxfId="1522" priority="1903" operator="between">
      <formula>69.43</formula>
      <formula>80.55</formula>
    </cfRule>
    <cfRule type="cellIs" dxfId="1521" priority="1904" operator="greaterThan">
      <formula>80.55</formula>
    </cfRule>
  </conditionalFormatting>
  <conditionalFormatting sqref="AV4">
    <cfRule type="cellIs" dxfId="1520" priority="1896" operator="lessThan">
      <formula>74.98</formula>
    </cfRule>
  </conditionalFormatting>
  <conditionalFormatting sqref="AV4">
    <cfRule type="cellIs" dxfId="1519" priority="1894" operator="between">
      <formula>69.43</formula>
      <formula>80.55</formula>
    </cfRule>
    <cfRule type="cellIs" dxfId="1518" priority="1895" operator="greaterThan">
      <formula>80.55</formula>
    </cfRule>
  </conditionalFormatting>
  <conditionalFormatting sqref="AV13">
    <cfRule type="cellIs" dxfId="1517" priority="1890" operator="lessThan">
      <formula>74.98</formula>
    </cfRule>
  </conditionalFormatting>
  <conditionalFormatting sqref="AV13">
    <cfRule type="cellIs" dxfId="1516" priority="1888" operator="between">
      <formula>69.43</formula>
      <formula>80.55</formula>
    </cfRule>
    <cfRule type="cellIs" dxfId="1515" priority="1889" operator="greaterThan">
      <formula>80.55</formula>
    </cfRule>
  </conditionalFormatting>
  <conditionalFormatting sqref="AV14">
    <cfRule type="cellIs" dxfId="1514" priority="1884" operator="lessThan">
      <formula>74.98</formula>
    </cfRule>
  </conditionalFormatting>
  <conditionalFormatting sqref="AV14">
    <cfRule type="cellIs" dxfId="1513" priority="1882" operator="between">
      <formula>69.43</formula>
      <formula>80.55</formula>
    </cfRule>
    <cfRule type="cellIs" dxfId="1512" priority="1883" operator="greaterThan">
      <formula>80.55</formula>
    </cfRule>
  </conditionalFormatting>
  <conditionalFormatting sqref="AV9">
    <cfRule type="cellIs" dxfId="1511" priority="1881" operator="lessThan">
      <formula>74.98</formula>
    </cfRule>
  </conditionalFormatting>
  <conditionalFormatting sqref="AV9">
    <cfRule type="cellIs" dxfId="1510" priority="1879" operator="between">
      <formula>69.43</formula>
      <formula>80.55</formula>
    </cfRule>
    <cfRule type="cellIs" dxfId="1509" priority="1880" operator="greaterThan">
      <formula>80.55</formula>
    </cfRule>
  </conditionalFormatting>
  <conditionalFormatting sqref="BE2:BE3 BE5:BE7 BE15 BE10:BE11 BK17 BI17 BG17 BG19:BG22 BI19:BI22 BK19:BK22">
    <cfRule type="cellIs" dxfId="1508" priority="1869" operator="lessThan">
      <formula>74.98</formula>
    </cfRule>
  </conditionalFormatting>
  <conditionalFormatting sqref="BE2:BE3 BE5:BE7 BE15 BE10:BE11 BK17 BI17 BG17 BG19:BG22 BI19:BI22 BK19:BK22">
    <cfRule type="cellIs" dxfId="1507" priority="1867" operator="between">
      <formula>69.43</formula>
      <formula>80.55</formula>
    </cfRule>
    <cfRule type="cellIs" dxfId="1506" priority="1868" operator="greaterThan">
      <formula>80.55</formula>
    </cfRule>
  </conditionalFormatting>
  <conditionalFormatting sqref="C4">
    <cfRule type="cellIs" dxfId="1505" priority="2001" operator="lessThan">
      <formula>74.98</formula>
    </cfRule>
  </conditionalFormatting>
  <conditionalFormatting sqref="C4">
    <cfRule type="cellIs" dxfId="1504" priority="1999" operator="between">
      <formula>69.43</formula>
      <formula>80.55</formula>
    </cfRule>
    <cfRule type="cellIs" dxfId="1503" priority="2000" operator="greaterThan">
      <formula>80.55</formula>
    </cfRule>
  </conditionalFormatting>
  <conditionalFormatting sqref="L2:L3 L5:L13 L15">
    <cfRule type="cellIs" dxfId="1502" priority="1992" operator="lessThan">
      <formula>74.98</formula>
    </cfRule>
  </conditionalFormatting>
  <conditionalFormatting sqref="L2:L3 L5:L13 L15">
    <cfRule type="cellIs" dxfId="1501" priority="1990" operator="between">
      <formula>69.43</formula>
      <formula>80.55</formula>
    </cfRule>
    <cfRule type="cellIs" dxfId="1500" priority="1991" operator="greaterThan">
      <formula>80.55</formula>
    </cfRule>
  </conditionalFormatting>
  <conditionalFormatting sqref="L4">
    <cfRule type="cellIs" dxfId="1499" priority="1989" operator="lessThan">
      <formula>74.98</formula>
    </cfRule>
  </conditionalFormatting>
  <conditionalFormatting sqref="L4">
    <cfRule type="cellIs" dxfId="1498" priority="1987" operator="between">
      <formula>69.43</formula>
      <formula>80.55</formula>
    </cfRule>
    <cfRule type="cellIs" dxfId="1497" priority="1988" operator="greaterThan">
      <formula>80.55</formula>
    </cfRule>
  </conditionalFormatting>
  <conditionalFormatting sqref="U2:U3 U5:U13 U15">
    <cfRule type="cellIs" dxfId="1496" priority="1980" operator="lessThan">
      <formula>74.98</formula>
    </cfRule>
  </conditionalFormatting>
  <conditionalFormatting sqref="U2:U3 U5:U13 U15">
    <cfRule type="cellIs" dxfId="1495" priority="1978" operator="between">
      <formula>69.43</formula>
      <formula>80.55</formula>
    </cfRule>
    <cfRule type="cellIs" dxfId="1494" priority="1979" operator="greaterThan">
      <formula>80.55</formula>
    </cfRule>
  </conditionalFormatting>
  <conditionalFormatting sqref="U4">
    <cfRule type="cellIs" dxfId="1493" priority="1977" operator="lessThan">
      <formula>74.98</formula>
    </cfRule>
  </conditionalFormatting>
  <conditionalFormatting sqref="U4">
    <cfRule type="cellIs" dxfId="1492" priority="1975" operator="between">
      <formula>69.43</formula>
      <formula>80.55</formula>
    </cfRule>
    <cfRule type="cellIs" dxfId="1491" priority="1976" operator="greaterThan">
      <formula>80.55</formula>
    </cfRule>
  </conditionalFormatting>
  <conditionalFormatting sqref="AD2:AD3 AD5:AD11 AD15">
    <cfRule type="cellIs" dxfId="1490" priority="1968" operator="lessThan">
      <formula>74.98</formula>
    </cfRule>
  </conditionalFormatting>
  <conditionalFormatting sqref="AD2:AD3 AD5:AD11 AD15">
    <cfRule type="cellIs" dxfId="1489" priority="1966" operator="between">
      <formula>69.43</formula>
      <formula>80.55</formula>
    </cfRule>
    <cfRule type="cellIs" dxfId="1488" priority="1967" operator="greaterThan">
      <formula>80.55</formula>
    </cfRule>
  </conditionalFormatting>
  <conditionalFormatting sqref="AD14">
    <cfRule type="cellIs" dxfId="1487" priority="1947" operator="lessThan">
      <formula>74.98</formula>
    </cfRule>
  </conditionalFormatting>
  <conditionalFormatting sqref="AD14">
    <cfRule type="cellIs" dxfId="1486" priority="1945" operator="between">
      <formula>69.43</formula>
      <formula>80.55</formula>
    </cfRule>
    <cfRule type="cellIs" dxfId="1485" priority="1946" operator="greaterThan">
      <formula>80.55</formula>
    </cfRule>
  </conditionalFormatting>
  <conditionalFormatting sqref="AV12">
    <cfRule type="cellIs" dxfId="1484" priority="1893" operator="lessThan">
      <formula>74.98</formula>
    </cfRule>
  </conditionalFormatting>
  <conditionalFormatting sqref="AV12">
    <cfRule type="cellIs" dxfId="1483" priority="1891" operator="between">
      <formula>69.43</formula>
      <formula>80.55</formula>
    </cfRule>
    <cfRule type="cellIs" dxfId="1482" priority="1892" operator="greaterThan">
      <formula>80.55</formula>
    </cfRule>
  </conditionalFormatting>
  <conditionalFormatting sqref="AV14">
    <cfRule type="cellIs" dxfId="1481" priority="1887" operator="lessThan">
      <formula>74.98</formula>
    </cfRule>
  </conditionalFormatting>
  <conditionalFormatting sqref="AV14">
    <cfRule type="cellIs" dxfId="1480" priority="1885" operator="between">
      <formula>69.43</formula>
      <formula>80.55</formula>
    </cfRule>
    <cfRule type="cellIs" dxfId="1479" priority="1886" operator="greaterThan">
      <formula>80.55</formula>
    </cfRule>
  </conditionalFormatting>
  <conditionalFormatting sqref="AV23:AV30">
    <cfRule type="cellIs" dxfId="1478" priority="1875" operator="lessThan">
      <formula>74.98</formula>
    </cfRule>
  </conditionalFormatting>
  <conditionalFormatting sqref="AV23:AV30">
    <cfRule type="cellIs" dxfId="1477" priority="1873" operator="between">
      <formula>69.43</formula>
      <formula>80.55</formula>
    </cfRule>
    <cfRule type="cellIs" dxfId="1476" priority="1874" operator="greaterThan">
      <formula>80.55</formula>
    </cfRule>
  </conditionalFormatting>
  <conditionalFormatting sqref="AV22">
    <cfRule type="cellIs" dxfId="1475" priority="1872" operator="lessThan">
      <formula>74.98</formula>
    </cfRule>
  </conditionalFormatting>
  <conditionalFormatting sqref="AV22">
    <cfRule type="cellIs" dxfId="1474" priority="1870" operator="between">
      <formula>69.43</formula>
      <formula>80.55</formula>
    </cfRule>
    <cfRule type="cellIs" dxfId="1473" priority="1871" operator="greaterThan">
      <formula>80.55</formula>
    </cfRule>
  </conditionalFormatting>
  <conditionalFormatting sqref="BE15 BE17 BE19:BE21">
    <cfRule type="cellIs" dxfId="1472" priority="1863" operator="lessThan">
      <formula>74.98</formula>
    </cfRule>
  </conditionalFormatting>
  <conditionalFormatting sqref="BE15 BE17 BE19:BE21">
    <cfRule type="cellIs" dxfId="1471" priority="1861" operator="between">
      <formula>69.43</formula>
      <formula>80.55</formula>
    </cfRule>
    <cfRule type="cellIs" dxfId="1470" priority="1862" operator="greaterThan">
      <formula>80.55</formula>
    </cfRule>
  </conditionalFormatting>
  <conditionalFormatting sqref="BE4">
    <cfRule type="cellIs" dxfId="1469" priority="1860" operator="lessThan">
      <formula>74.98</formula>
    </cfRule>
  </conditionalFormatting>
  <conditionalFormatting sqref="BE4">
    <cfRule type="cellIs" dxfId="1468" priority="1858" operator="between">
      <formula>69.43</formula>
      <formula>80.55</formula>
    </cfRule>
    <cfRule type="cellIs" dxfId="1467" priority="1859" operator="greaterThan">
      <formula>80.55</formula>
    </cfRule>
  </conditionalFormatting>
  <conditionalFormatting sqref="BE22">
    <cfRule type="cellIs" dxfId="1466" priority="1836" operator="lessThan">
      <formula>74.98</formula>
    </cfRule>
  </conditionalFormatting>
  <conditionalFormatting sqref="BE22">
    <cfRule type="cellIs" dxfId="1465" priority="1834" operator="between">
      <formula>69.43</formula>
      <formula>80.55</formula>
    </cfRule>
    <cfRule type="cellIs" dxfId="1464" priority="1835" operator="greaterThan">
      <formula>80.55</formula>
    </cfRule>
  </conditionalFormatting>
  <conditionalFormatting sqref="BE13">
    <cfRule type="cellIs" dxfId="1463" priority="1854" operator="lessThan">
      <formula>74.98</formula>
    </cfRule>
  </conditionalFormatting>
  <conditionalFormatting sqref="BE13">
    <cfRule type="cellIs" dxfId="1462" priority="1852" operator="between">
      <formula>69.43</formula>
      <formula>80.55</formula>
    </cfRule>
    <cfRule type="cellIs" dxfId="1461" priority="1853" operator="greaterThan">
      <formula>80.55</formula>
    </cfRule>
  </conditionalFormatting>
  <conditionalFormatting sqref="BE14">
    <cfRule type="cellIs" dxfId="1460" priority="1851" operator="lessThan">
      <formula>74.98</formula>
    </cfRule>
  </conditionalFormatting>
  <conditionalFormatting sqref="BE14">
    <cfRule type="cellIs" dxfId="1459" priority="1849" operator="between">
      <formula>69.43</formula>
      <formula>80.55</formula>
    </cfRule>
    <cfRule type="cellIs" dxfId="1458" priority="1850" operator="greaterThan">
      <formula>80.55</formula>
    </cfRule>
  </conditionalFormatting>
  <conditionalFormatting sqref="BE14">
    <cfRule type="cellIs" dxfId="1457" priority="1848" operator="lessThan">
      <formula>74.98</formula>
    </cfRule>
  </conditionalFormatting>
  <conditionalFormatting sqref="BE14">
    <cfRule type="cellIs" dxfId="1456" priority="1846" operator="between">
      <formula>69.43</formula>
      <formula>80.55</formula>
    </cfRule>
    <cfRule type="cellIs" dxfId="1455" priority="1847" operator="greaterThan">
      <formula>80.55</formula>
    </cfRule>
  </conditionalFormatting>
  <conditionalFormatting sqref="BE9">
    <cfRule type="cellIs" dxfId="1454" priority="1845" operator="lessThan">
      <formula>74.98</formula>
    </cfRule>
  </conditionalFormatting>
  <conditionalFormatting sqref="BE9">
    <cfRule type="cellIs" dxfId="1453" priority="1843" operator="between">
      <formula>69.43</formula>
      <formula>80.55</formula>
    </cfRule>
    <cfRule type="cellIs" dxfId="1452" priority="1844" operator="greaterThan">
      <formula>80.55</formula>
    </cfRule>
  </conditionalFormatting>
  <conditionalFormatting sqref="BE8">
    <cfRule type="cellIs" dxfId="1451" priority="1833" operator="lessThan">
      <formula>74.98</formula>
    </cfRule>
  </conditionalFormatting>
  <conditionalFormatting sqref="BE8">
    <cfRule type="cellIs" dxfId="1450" priority="1831" operator="between">
      <formula>69.43</formula>
      <formula>80.55</formula>
    </cfRule>
    <cfRule type="cellIs" dxfId="1449" priority="1832" operator="greaterThan">
      <formula>80.55</formula>
    </cfRule>
  </conditionalFormatting>
  <conditionalFormatting sqref="BE12">
    <cfRule type="cellIs" dxfId="1448" priority="1830" operator="lessThan">
      <formula>74.98</formula>
    </cfRule>
  </conditionalFormatting>
  <conditionalFormatting sqref="BE12">
    <cfRule type="cellIs" dxfId="1447" priority="1828" operator="between">
      <formula>69.43</formula>
      <formula>80.55</formula>
    </cfRule>
    <cfRule type="cellIs" dxfId="1446" priority="1829" operator="greaterThan">
      <formula>80.55</formula>
    </cfRule>
  </conditionalFormatting>
  <conditionalFormatting sqref="BK16 BI16 BG16">
    <cfRule type="cellIs" dxfId="1445" priority="1827" operator="lessThan">
      <formula>74.98</formula>
    </cfRule>
  </conditionalFormatting>
  <conditionalFormatting sqref="BK16 BI16 BG16">
    <cfRule type="cellIs" dxfId="1444" priority="1825" operator="between">
      <formula>69.43</formula>
      <formula>80.55</formula>
    </cfRule>
    <cfRule type="cellIs" dxfId="1443" priority="1826" operator="greaterThan">
      <formula>80.55</formula>
    </cfRule>
  </conditionalFormatting>
  <conditionalFormatting sqref="BE16">
    <cfRule type="cellIs" dxfId="1442" priority="1824" operator="lessThan">
      <formula>74.98</formula>
    </cfRule>
  </conditionalFormatting>
  <conditionalFormatting sqref="BE16">
    <cfRule type="cellIs" dxfId="1441" priority="1822" operator="between">
      <formula>69.43</formula>
      <formula>80.55</formula>
    </cfRule>
    <cfRule type="cellIs" dxfId="1440" priority="1823" operator="greaterThan">
      <formula>80.55</formula>
    </cfRule>
  </conditionalFormatting>
  <conditionalFormatting sqref="BK18 BI18 BG18">
    <cfRule type="cellIs" dxfId="1439" priority="1821" operator="lessThan">
      <formula>74.98</formula>
    </cfRule>
  </conditionalFormatting>
  <conditionalFormatting sqref="BK18 BI18 BG18">
    <cfRule type="cellIs" dxfId="1438" priority="1819" operator="between">
      <formula>69.43</formula>
      <formula>80.55</formula>
    </cfRule>
    <cfRule type="cellIs" dxfId="1437" priority="1820" operator="greaterThan">
      <formula>80.55</formula>
    </cfRule>
  </conditionalFormatting>
  <conditionalFormatting sqref="BE18">
    <cfRule type="cellIs" dxfId="1436" priority="1818" operator="lessThan">
      <formula>74.98</formula>
    </cfRule>
  </conditionalFormatting>
  <conditionalFormatting sqref="BE18">
    <cfRule type="cellIs" dxfId="1435" priority="1816" operator="between">
      <formula>69.43</formula>
      <formula>80.55</formula>
    </cfRule>
    <cfRule type="cellIs" dxfId="1434" priority="1817" operator="greaterThan">
      <formula>80.55</formula>
    </cfRule>
  </conditionalFormatting>
  <conditionalFormatting sqref="BG23 BI23 BK23 BK30 BI30 BG30">
    <cfRule type="cellIs" dxfId="1433" priority="1815" operator="lessThan">
      <formula>74.98</formula>
    </cfRule>
  </conditionalFormatting>
  <conditionalFormatting sqref="BG23 BI23 BK23 BK30 BI30 BG30">
    <cfRule type="cellIs" dxfId="1432" priority="1813" operator="between">
      <formula>69.43</formula>
      <formula>80.55</formula>
    </cfRule>
    <cfRule type="cellIs" dxfId="1431" priority="1814" operator="greaterThan">
      <formula>80.55</formula>
    </cfRule>
  </conditionalFormatting>
  <conditionalFormatting sqref="BE23 BE30">
    <cfRule type="cellIs" dxfId="1430" priority="1812" operator="lessThan">
      <formula>74.98</formula>
    </cfRule>
  </conditionalFormatting>
  <conditionalFormatting sqref="BE23 BE30">
    <cfRule type="cellIs" dxfId="1429" priority="1810" operator="between">
      <formula>69.43</formula>
      <formula>80.55</formula>
    </cfRule>
    <cfRule type="cellIs" dxfId="1428" priority="1811" operator="greaterThan">
      <formula>80.55</formula>
    </cfRule>
  </conditionalFormatting>
  <conditionalFormatting sqref="BG24:BG29 BI24:BI29 BK24:BK29">
    <cfRule type="cellIs" dxfId="1427" priority="1809" operator="lessThan">
      <formula>74.98</formula>
    </cfRule>
  </conditionalFormatting>
  <conditionalFormatting sqref="BG24:BG29 BI24:BI29 BK24:BK29">
    <cfRule type="cellIs" dxfId="1426" priority="1807" operator="between">
      <formula>69.43</formula>
      <formula>80.55</formula>
    </cfRule>
    <cfRule type="cellIs" dxfId="1425" priority="1808" operator="greaterThan">
      <formula>80.55</formula>
    </cfRule>
  </conditionalFormatting>
  <conditionalFormatting sqref="BE24:BE29">
    <cfRule type="cellIs" dxfId="1424" priority="1806" operator="lessThan">
      <formula>74.98</formula>
    </cfRule>
  </conditionalFormatting>
  <conditionalFormatting sqref="BE24:BE29">
    <cfRule type="cellIs" dxfId="1423" priority="1804" operator="between">
      <formula>69.43</formula>
      <formula>80.55</formula>
    </cfRule>
    <cfRule type="cellIs" dxfId="1422" priority="1805" operator="greaterThan">
      <formula>80.55</formula>
    </cfRule>
  </conditionalFormatting>
  <conditionalFormatting sqref="BN2:BN3 BN5:BN7 BN15 BN10 BT17 BR17 BP17 BP19 BR19 BT19 BP21 BR21 BT21 BR2:BR10 BT2:BT10">
    <cfRule type="cellIs" dxfId="1421" priority="1803" operator="lessThan">
      <formula>74.98</formula>
    </cfRule>
  </conditionalFormatting>
  <conditionalFormatting sqref="BN2:BN3 BN5:BN7 BN15 BN10 BT17 BR17 BP17 BP19 BR19 BT19 BP21 BR21 BT21 BR2:BR10 BT2:BT10">
    <cfRule type="cellIs" dxfId="1420" priority="1801" operator="between">
      <formula>69.43</formula>
      <formula>80.55</formula>
    </cfRule>
    <cfRule type="cellIs" dxfId="1419" priority="1802" operator="greaterThan">
      <formula>80.55</formula>
    </cfRule>
  </conditionalFormatting>
  <conditionalFormatting sqref="BN15 BN17 BN19 BN21">
    <cfRule type="cellIs" dxfId="1418" priority="1797" operator="lessThan">
      <formula>74.98</formula>
    </cfRule>
  </conditionalFormatting>
  <conditionalFormatting sqref="BN15 BN17 BN19 BN21">
    <cfRule type="cellIs" dxfId="1417" priority="1795" operator="between">
      <formula>69.43</formula>
      <formula>80.55</formula>
    </cfRule>
    <cfRule type="cellIs" dxfId="1416" priority="1796" operator="greaterThan">
      <formula>80.55</formula>
    </cfRule>
  </conditionalFormatting>
  <conditionalFormatting sqref="BT18 BR18 BP18">
    <cfRule type="cellIs" dxfId="1415" priority="1761" operator="lessThan">
      <formula>74.98</formula>
    </cfRule>
  </conditionalFormatting>
  <conditionalFormatting sqref="BT18 BR18 BP18">
    <cfRule type="cellIs" dxfId="1414" priority="1759" operator="between">
      <formula>69.43</formula>
      <formula>80.55</formula>
    </cfRule>
    <cfRule type="cellIs" dxfId="1413" priority="1760" operator="greaterThan">
      <formula>80.55</formula>
    </cfRule>
  </conditionalFormatting>
  <conditionalFormatting sqref="BP23 BR23 BT23">
    <cfRule type="cellIs" dxfId="1412" priority="1755" operator="lessThan">
      <formula>74.98</formula>
    </cfRule>
  </conditionalFormatting>
  <conditionalFormatting sqref="BP23 BR23 BT23">
    <cfRule type="cellIs" dxfId="1411" priority="1753" operator="between">
      <formula>69.43</formula>
      <formula>80.55</formula>
    </cfRule>
    <cfRule type="cellIs" dxfId="1410" priority="1754" operator="greaterThan">
      <formula>80.55</formula>
    </cfRule>
  </conditionalFormatting>
  <conditionalFormatting sqref="BN13">
    <cfRule type="cellIs" dxfId="1409" priority="1791" operator="lessThan">
      <formula>74.98</formula>
    </cfRule>
  </conditionalFormatting>
  <conditionalFormatting sqref="BN13">
    <cfRule type="cellIs" dxfId="1408" priority="1789" operator="between">
      <formula>69.43</formula>
      <formula>80.55</formula>
    </cfRule>
    <cfRule type="cellIs" dxfId="1407" priority="1790" operator="greaterThan">
      <formula>80.55</formula>
    </cfRule>
  </conditionalFormatting>
  <conditionalFormatting sqref="BN14">
    <cfRule type="cellIs" dxfId="1406" priority="1788" operator="lessThan">
      <formula>74.98</formula>
    </cfRule>
  </conditionalFormatting>
  <conditionalFormatting sqref="BN14">
    <cfRule type="cellIs" dxfId="1405" priority="1786" operator="between">
      <formula>69.43</formula>
      <formula>80.55</formula>
    </cfRule>
    <cfRule type="cellIs" dxfId="1404" priority="1787" operator="greaterThan">
      <formula>80.55</formula>
    </cfRule>
  </conditionalFormatting>
  <conditionalFormatting sqref="BN14">
    <cfRule type="cellIs" dxfId="1403" priority="1785" operator="lessThan">
      <formula>74.98</formula>
    </cfRule>
  </conditionalFormatting>
  <conditionalFormatting sqref="BN14">
    <cfRule type="cellIs" dxfId="1402" priority="1783" operator="between">
      <formula>69.43</formula>
      <formula>80.55</formula>
    </cfRule>
    <cfRule type="cellIs" dxfId="1401" priority="1784" operator="greaterThan">
      <formula>80.55</formula>
    </cfRule>
  </conditionalFormatting>
  <conditionalFormatting sqref="BN9">
    <cfRule type="cellIs" dxfId="1400" priority="1782" operator="lessThan">
      <formula>74.98</formula>
    </cfRule>
  </conditionalFormatting>
  <conditionalFormatting sqref="BN9">
    <cfRule type="cellIs" dxfId="1399" priority="1780" operator="between">
      <formula>69.43</formula>
      <formula>80.55</formula>
    </cfRule>
    <cfRule type="cellIs" dxfId="1398" priority="1781" operator="greaterThan">
      <formula>80.55</formula>
    </cfRule>
  </conditionalFormatting>
  <conditionalFormatting sqref="BN8">
    <cfRule type="cellIs" dxfId="1397" priority="1773" operator="lessThan">
      <formula>74.98</formula>
    </cfRule>
  </conditionalFormatting>
  <conditionalFormatting sqref="BN8">
    <cfRule type="cellIs" dxfId="1396" priority="1771" operator="between">
      <formula>69.43</formula>
      <formula>80.55</formula>
    </cfRule>
    <cfRule type="cellIs" dxfId="1395" priority="1772" operator="greaterThan">
      <formula>80.55</formula>
    </cfRule>
  </conditionalFormatting>
  <conditionalFormatting sqref="BN12">
    <cfRule type="cellIs" dxfId="1394" priority="1770" operator="lessThan">
      <formula>74.98</formula>
    </cfRule>
  </conditionalFormatting>
  <conditionalFormatting sqref="BN12">
    <cfRule type="cellIs" dxfId="1393" priority="1768" operator="between">
      <formula>69.43</formula>
      <formula>80.55</formula>
    </cfRule>
    <cfRule type="cellIs" dxfId="1392" priority="1769" operator="greaterThan">
      <formula>80.55</formula>
    </cfRule>
  </conditionalFormatting>
  <conditionalFormatting sqref="BT16 BR16 BP16">
    <cfRule type="cellIs" dxfId="1391" priority="1767" operator="lessThan">
      <formula>74.98</formula>
    </cfRule>
  </conditionalFormatting>
  <conditionalFormatting sqref="BT16 BR16 BP16">
    <cfRule type="cellIs" dxfId="1390" priority="1765" operator="between">
      <formula>69.43</formula>
      <formula>80.55</formula>
    </cfRule>
    <cfRule type="cellIs" dxfId="1389" priority="1766" operator="greaterThan">
      <formula>80.55</formula>
    </cfRule>
  </conditionalFormatting>
  <conditionalFormatting sqref="BN16">
    <cfRule type="cellIs" dxfId="1388" priority="1764" operator="lessThan">
      <formula>74.98</formula>
    </cfRule>
  </conditionalFormatting>
  <conditionalFormatting sqref="BN16">
    <cfRule type="cellIs" dxfId="1387" priority="1762" operator="between">
      <formula>69.43</formula>
      <formula>80.55</formula>
    </cfRule>
    <cfRule type="cellIs" dxfId="1386" priority="1763" operator="greaterThan">
      <formula>80.55</formula>
    </cfRule>
  </conditionalFormatting>
  <conditionalFormatting sqref="BN18">
    <cfRule type="cellIs" dxfId="1385" priority="1758" operator="lessThan">
      <formula>74.98</formula>
    </cfRule>
  </conditionalFormatting>
  <conditionalFormatting sqref="BN18">
    <cfRule type="cellIs" dxfId="1384" priority="1756" operator="between">
      <formula>69.43</formula>
      <formula>80.55</formula>
    </cfRule>
    <cfRule type="cellIs" dxfId="1383" priority="1757" operator="greaterThan">
      <formula>80.55</formula>
    </cfRule>
  </conditionalFormatting>
  <conditionalFormatting sqref="BN23">
    <cfRule type="cellIs" dxfId="1382" priority="1752" operator="lessThan">
      <formula>74.98</formula>
    </cfRule>
  </conditionalFormatting>
  <conditionalFormatting sqref="BN23">
    <cfRule type="cellIs" dxfId="1381" priority="1750" operator="between">
      <formula>69.43</formula>
      <formula>80.55</formula>
    </cfRule>
    <cfRule type="cellIs" dxfId="1380" priority="1751" operator="greaterThan">
      <formula>80.55</formula>
    </cfRule>
  </conditionalFormatting>
  <conditionalFormatting sqref="BP24:BP29 BR24:BR29 BT24:BT29">
    <cfRule type="cellIs" dxfId="1379" priority="1749" operator="lessThan">
      <formula>74.98</formula>
    </cfRule>
  </conditionalFormatting>
  <conditionalFormatting sqref="BP24:BP29 BR24:BR29 BT24:BT29">
    <cfRule type="cellIs" dxfId="1378" priority="1747" operator="between">
      <formula>69.43</formula>
      <formula>80.55</formula>
    </cfRule>
    <cfRule type="cellIs" dxfId="1377" priority="1748" operator="greaterThan">
      <formula>80.55</formula>
    </cfRule>
  </conditionalFormatting>
  <conditionalFormatting sqref="BN24:BN29">
    <cfRule type="cellIs" dxfId="1376" priority="1746" operator="lessThan">
      <formula>74.98</formula>
    </cfRule>
  </conditionalFormatting>
  <conditionalFormatting sqref="BN24:BN29">
    <cfRule type="cellIs" dxfId="1375" priority="1744" operator="between">
      <formula>69.43</formula>
      <formula>80.55</formula>
    </cfRule>
    <cfRule type="cellIs" dxfId="1374" priority="1745" operator="greaterThan">
      <formula>80.55</formula>
    </cfRule>
  </conditionalFormatting>
  <conditionalFormatting sqref="BN4">
    <cfRule type="cellIs" dxfId="1373" priority="1743" operator="lessThan">
      <formula>74.98</formula>
    </cfRule>
  </conditionalFormatting>
  <conditionalFormatting sqref="BN4">
    <cfRule type="cellIs" dxfId="1372" priority="1741" operator="between">
      <formula>69.43</formula>
      <formula>80.55</formula>
    </cfRule>
    <cfRule type="cellIs" dxfId="1371" priority="1742" operator="greaterThan">
      <formula>80.55</formula>
    </cfRule>
  </conditionalFormatting>
  <conditionalFormatting sqref="BN11">
    <cfRule type="cellIs" dxfId="1370" priority="1740" operator="lessThan">
      <formula>74.98</formula>
    </cfRule>
  </conditionalFormatting>
  <conditionalFormatting sqref="BN11">
    <cfRule type="cellIs" dxfId="1369" priority="1738" operator="between">
      <formula>69.43</formula>
      <formula>80.55</formula>
    </cfRule>
    <cfRule type="cellIs" dxfId="1368" priority="1739" operator="greaterThan">
      <formula>80.55</formula>
    </cfRule>
  </conditionalFormatting>
  <conditionalFormatting sqref="BN20">
    <cfRule type="cellIs" dxfId="1367" priority="1734" operator="lessThan">
      <formula>74.98</formula>
    </cfRule>
  </conditionalFormatting>
  <conditionalFormatting sqref="BN20">
    <cfRule type="cellIs" dxfId="1366" priority="1732" operator="between">
      <formula>69.43</formula>
      <formula>80.55</formula>
    </cfRule>
    <cfRule type="cellIs" dxfId="1365" priority="1733" operator="greaterThan">
      <formula>80.55</formula>
    </cfRule>
  </conditionalFormatting>
  <conditionalFormatting sqref="BN22">
    <cfRule type="cellIs" dxfId="1364" priority="1731" operator="lessThan">
      <formula>74.98</formula>
    </cfRule>
  </conditionalFormatting>
  <conditionalFormatting sqref="BN22">
    <cfRule type="cellIs" dxfId="1363" priority="1729" operator="between">
      <formula>69.43</formula>
      <formula>80.55</formula>
    </cfRule>
    <cfRule type="cellIs" dxfId="1362" priority="1730" operator="greaterThan">
      <formula>80.55</formula>
    </cfRule>
  </conditionalFormatting>
  <conditionalFormatting sqref="BP20">
    <cfRule type="cellIs" dxfId="1361" priority="1728" operator="lessThan">
      <formula>74.98</formula>
    </cfRule>
  </conditionalFormatting>
  <conditionalFormatting sqref="BP20">
    <cfRule type="cellIs" dxfId="1360" priority="1726" operator="between">
      <formula>69.43</formula>
      <formula>80.55</formula>
    </cfRule>
    <cfRule type="cellIs" dxfId="1359" priority="1727" operator="greaterThan">
      <formula>80.55</formula>
    </cfRule>
  </conditionalFormatting>
  <conditionalFormatting sqref="BP22">
    <cfRule type="cellIs" dxfId="1358" priority="1725" operator="lessThan">
      <formula>74.98</formula>
    </cfRule>
  </conditionalFormatting>
  <conditionalFormatting sqref="BP22">
    <cfRule type="cellIs" dxfId="1357" priority="1723" operator="between">
      <formula>69.43</formula>
      <formula>80.55</formula>
    </cfRule>
    <cfRule type="cellIs" dxfId="1356" priority="1724" operator="greaterThan">
      <formula>80.55</formula>
    </cfRule>
  </conditionalFormatting>
  <conditionalFormatting sqref="BT11 BR11">
    <cfRule type="cellIs" dxfId="1355" priority="1722" operator="lessThan">
      <formula>74.98</formula>
    </cfRule>
  </conditionalFormatting>
  <conditionalFormatting sqref="BT11 BR11">
    <cfRule type="cellIs" dxfId="1354" priority="1720" operator="between">
      <formula>69.43</formula>
      <formula>80.55</formula>
    </cfRule>
    <cfRule type="cellIs" dxfId="1353" priority="1721" operator="greaterThan">
      <formula>80.55</formula>
    </cfRule>
  </conditionalFormatting>
  <conditionalFormatting sqref="BT20 BR20">
    <cfRule type="cellIs" dxfId="1352" priority="1719" operator="lessThan">
      <formula>74.98</formula>
    </cfRule>
  </conditionalFormatting>
  <conditionalFormatting sqref="BT20 BR20">
    <cfRule type="cellIs" dxfId="1351" priority="1717" operator="between">
      <formula>69.43</formula>
      <formula>80.55</formula>
    </cfRule>
    <cfRule type="cellIs" dxfId="1350" priority="1718" operator="greaterThan">
      <formula>80.55</formula>
    </cfRule>
  </conditionalFormatting>
  <conditionalFormatting sqref="BT22 BR22">
    <cfRule type="cellIs" dxfId="1349" priority="1716" operator="lessThan">
      <formula>74.98</formula>
    </cfRule>
  </conditionalFormatting>
  <conditionalFormatting sqref="BT22 BR22">
    <cfRule type="cellIs" dxfId="1348" priority="1714" operator="between">
      <formula>69.43</formula>
      <formula>80.55</formula>
    </cfRule>
    <cfRule type="cellIs" dxfId="1347" priority="1715" operator="greaterThan">
      <formula>80.55</formula>
    </cfRule>
  </conditionalFormatting>
  <conditionalFormatting sqref="BW2:BW3 BW5 BW15 BW10 CC17 CA17 BY17 CC21 BW7 CA2:CA10 CC2:CC10">
    <cfRule type="cellIs" dxfId="1346" priority="1710" operator="lessThan">
      <formula>74.98</formula>
    </cfRule>
  </conditionalFormatting>
  <conditionalFormatting sqref="BW2:BW3 BW5 BW15 BW10 CC17 CA17 BY17 CC21 BW7 CA2:CA10 CC2:CC10">
    <cfRule type="cellIs" dxfId="1345" priority="1708" operator="between">
      <formula>69.43</formula>
      <formula>80.55</formula>
    </cfRule>
    <cfRule type="cellIs" dxfId="1344" priority="1709" operator="greaterThan">
      <formula>80.55</formula>
    </cfRule>
  </conditionalFormatting>
  <conditionalFormatting sqref="BW15 BW17">
    <cfRule type="cellIs" dxfId="1343" priority="1704" operator="lessThan">
      <formula>74.98</formula>
    </cfRule>
  </conditionalFormatting>
  <conditionalFormatting sqref="BW15 BW17">
    <cfRule type="cellIs" dxfId="1342" priority="1702" operator="between">
      <formula>69.43</formula>
      <formula>80.55</formula>
    </cfRule>
    <cfRule type="cellIs" dxfId="1341" priority="1703" operator="greaterThan">
      <formula>80.55</formula>
    </cfRule>
  </conditionalFormatting>
  <conditionalFormatting sqref="CC18 CA18 BY18">
    <cfRule type="cellIs" dxfId="1340" priority="1674" operator="lessThan">
      <formula>74.98</formula>
    </cfRule>
  </conditionalFormatting>
  <conditionalFormatting sqref="CC18 CA18 BY18">
    <cfRule type="cellIs" dxfId="1339" priority="1672" operator="between">
      <formula>69.43</formula>
      <formula>80.55</formula>
    </cfRule>
    <cfRule type="cellIs" dxfId="1338" priority="1673" operator="greaterThan">
      <formula>80.55</formula>
    </cfRule>
  </conditionalFormatting>
  <conditionalFormatting sqref="BY23 CA23 CC23">
    <cfRule type="cellIs" dxfId="1337" priority="1668" operator="lessThan">
      <formula>74.98</formula>
    </cfRule>
  </conditionalFormatting>
  <conditionalFormatting sqref="BY23 CA23 CC23">
    <cfRule type="cellIs" dxfId="1336" priority="1666" operator="between">
      <formula>69.43</formula>
      <formula>80.55</formula>
    </cfRule>
    <cfRule type="cellIs" dxfId="1335" priority="1667" operator="greaterThan">
      <formula>80.55</formula>
    </cfRule>
  </conditionalFormatting>
  <conditionalFormatting sqref="BW13">
    <cfRule type="cellIs" dxfId="1334" priority="1701" operator="lessThan">
      <formula>74.98</formula>
    </cfRule>
  </conditionalFormatting>
  <conditionalFormatting sqref="BW13">
    <cfRule type="cellIs" dxfId="1333" priority="1699" operator="between">
      <formula>69.43</formula>
      <formula>80.55</formula>
    </cfRule>
    <cfRule type="cellIs" dxfId="1332" priority="1700" operator="greaterThan">
      <formula>80.55</formula>
    </cfRule>
  </conditionalFormatting>
  <conditionalFormatting sqref="BW14">
    <cfRule type="cellIs" dxfId="1331" priority="1698" operator="lessThan">
      <formula>74.98</formula>
    </cfRule>
  </conditionalFormatting>
  <conditionalFormatting sqref="BW14">
    <cfRule type="cellIs" dxfId="1330" priority="1696" operator="between">
      <formula>69.43</formula>
      <formula>80.55</formula>
    </cfRule>
    <cfRule type="cellIs" dxfId="1329" priority="1697" operator="greaterThan">
      <formula>80.55</formula>
    </cfRule>
  </conditionalFormatting>
  <conditionalFormatting sqref="BW14">
    <cfRule type="cellIs" dxfId="1328" priority="1695" operator="lessThan">
      <formula>74.98</formula>
    </cfRule>
  </conditionalFormatting>
  <conditionalFormatting sqref="BW14">
    <cfRule type="cellIs" dxfId="1327" priority="1693" operator="between">
      <formula>69.43</formula>
      <formula>80.55</formula>
    </cfRule>
    <cfRule type="cellIs" dxfId="1326" priority="1694" operator="greaterThan">
      <formula>80.55</formula>
    </cfRule>
  </conditionalFormatting>
  <conditionalFormatting sqref="BW9">
    <cfRule type="cellIs" dxfId="1325" priority="1692" operator="lessThan">
      <formula>74.98</formula>
    </cfRule>
  </conditionalFormatting>
  <conditionalFormatting sqref="BW9">
    <cfRule type="cellIs" dxfId="1324" priority="1690" operator="between">
      <formula>69.43</formula>
      <formula>80.55</formula>
    </cfRule>
    <cfRule type="cellIs" dxfId="1323" priority="1691" operator="greaterThan">
      <formula>80.55</formula>
    </cfRule>
  </conditionalFormatting>
  <conditionalFormatting sqref="BW8">
    <cfRule type="cellIs" dxfId="1322" priority="1686" operator="lessThan">
      <formula>74.98</formula>
    </cfRule>
  </conditionalFormatting>
  <conditionalFormatting sqref="BW8">
    <cfRule type="cellIs" dxfId="1321" priority="1684" operator="between">
      <formula>69.43</formula>
      <formula>80.55</formula>
    </cfRule>
    <cfRule type="cellIs" dxfId="1320" priority="1685" operator="greaterThan">
      <formula>80.55</formula>
    </cfRule>
  </conditionalFormatting>
  <conditionalFormatting sqref="BW12">
    <cfRule type="cellIs" dxfId="1319" priority="1683" operator="lessThan">
      <formula>74.98</formula>
    </cfRule>
  </conditionalFormatting>
  <conditionalFormatting sqref="BW12">
    <cfRule type="cellIs" dxfId="1318" priority="1681" operator="between">
      <formula>69.43</formula>
      <formula>80.55</formula>
    </cfRule>
    <cfRule type="cellIs" dxfId="1317" priority="1682" operator="greaterThan">
      <formula>80.55</formula>
    </cfRule>
  </conditionalFormatting>
  <conditionalFormatting sqref="CC16 CA16 BY16">
    <cfRule type="cellIs" dxfId="1316" priority="1680" operator="lessThan">
      <formula>74.98</formula>
    </cfRule>
  </conditionalFormatting>
  <conditionalFormatting sqref="CC16 CA16 BY16">
    <cfRule type="cellIs" dxfId="1315" priority="1678" operator="between">
      <formula>69.43</formula>
      <formula>80.55</formula>
    </cfRule>
    <cfRule type="cellIs" dxfId="1314" priority="1679" operator="greaterThan">
      <formula>80.55</formula>
    </cfRule>
  </conditionalFormatting>
  <conditionalFormatting sqref="BW16">
    <cfRule type="cellIs" dxfId="1313" priority="1677" operator="lessThan">
      <formula>74.98</formula>
    </cfRule>
  </conditionalFormatting>
  <conditionalFormatting sqref="BW16">
    <cfRule type="cellIs" dxfId="1312" priority="1675" operator="between">
      <formula>69.43</formula>
      <formula>80.55</formula>
    </cfRule>
    <cfRule type="cellIs" dxfId="1311" priority="1676" operator="greaterThan">
      <formula>80.55</formula>
    </cfRule>
  </conditionalFormatting>
  <conditionalFormatting sqref="BW18">
    <cfRule type="cellIs" dxfId="1310" priority="1671" operator="lessThan">
      <formula>74.98</formula>
    </cfRule>
  </conditionalFormatting>
  <conditionalFormatting sqref="BW18">
    <cfRule type="cellIs" dxfId="1309" priority="1669" operator="between">
      <formula>69.43</formula>
      <formula>80.55</formula>
    </cfRule>
    <cfRule type="cellIs" dxfId="1308" priority="1670" operator="greaterThan">
      <formula>80.55</formula>
    </cfRule>
  </conditionalFormatting>
  <conditionalFormatting sqref="BY24 CA24:CA29 CC24:CC29">
    <cfRule type="cellIs" dxfId="1307" priority="1662" operator="lessThan">
      <formula>74.98</formula>
    </cfRule>
  </conditionalFormatting>
  <conditionalFormatting sqref="BY24 CA24:CA29 CC24:CC29">
    <cfRule type="cellIs" dxfId="1306" priority="1660" operator="between">
      <formula>69.43</formula>
      <formula>80.55</formula>
    </cfRule>
    <cfRule type="cellIs" dxfId="1305" priority="1661" operator="greaterThan">
      <formula>80.55</formula>
    </cfRule>
  </conditionalFormatting>
  <conditionalFormatting sqref="BW24">
    <cfRule type="cellIs" dxfId="1304" priority="1659" operator="lessThan">
      <formula>74.98</formula>
    </cfRule>
  </conditionalFormatting>
  <conditionalFormatting sqref="BW24">
    <cfRule type="cellIs" dxfId="1303" priority="1657" operator="between">
      <formula>69.43</formula>
      <formula>80.55</formula>
    </cfRule>
    <cfRule type="cellIs" dxfId="1302" priority="1658" operator="greaterThan">
      <formula>80.55</formula>
    </cfRule>
  </conditionalFormatting>
  <conditionalFormatting sqref="BW4">
    <cfRule type="cellIs" dxfId="1301" priority="1656" operator="lessThan">
      <formula>74.98</formula>
    </cfRule>
  </conditionalFormatting>
  <conditionalFormatting sqref="BW4">
    <cfRule type="cellIs" dxfId="1300" priority="1654" operator="between">
      <formula>69.43</formula>
      <formula>80.55</formula>
    </cfRule>
    <cfRule type="cellIs" dxfId="1299" priority="1655" operator="greaterThan">
      <formula>80.55</formula>
    </cfRule>
  </conditionalFormatting>
  <conditionalFormatting sqref="BW11">
    <cfRule type="cellIs" dxfId="1298" priority="1653" operator="lessThan">
      <formula>74.98</formula>
    </cfRule>
  </conditionalFormatting>
  <conditionalFormatting sqref="BW11">
    <cfRule type="cellIs" dxfId="1297" priority="1651" operator="between">
      <formula>69.43</formula>
      <formula>80.55</formula>
    </cfRule>
    <cfRule type="cellIs" dxfId="1296" priority="1652" operator="greaterThan">
      <formula>80.55</formula>
    </cfRule>
  </conditionalFormatting>
  <conditionalFormatting sqref="BW20">
    <cfRule type="cellIs" dxfId="1295" priority="1647" operator="lessThan">
      <formula>74.98</formula>
    </cfRule>
  </conditionalFormatting>
  <conditionalFormatting sqref="BW20">
    <cfRule type="cellIs" dxfId="1294" priority="1645" operator="between">
      <formula>69.43</formula>
      <formula>80.55</formula>
    </cfRule>
    <cfRule type="cellIs" dxfId="1293" priority="1646" operator="greaterThan">
      <formula>80.55</formula>
    </cfRule>
  </conditionalFormatting>
  <conditionalFormatting sqref="BY20">
    <cfRule type="cellIs" dxfId="1292" priority="1641" operator="lessThan">
      <formula>74.98</formula>
    </cfRule>
  </conditionalFormatting>
  <conditionalFormatting sqref="BY20">
    <cfRule type="cellIs" dxfId="1291" priority="1639" operator="between">
      <formula>69.43</formula>
      <formula>80.55</formula>
    </cfRule>
    <cfRule type="cellIs" dxfId="1290" priority="1640" operator="greaterThan">
      <formula>80.55</formula>
    </cfRule>
  </conditionalFormatting>
  <conditionalFormatting sqref="BY22">
    <cfRule type="cellIs" dxfId="1289" priority="1638" operator="lessThan">
      <formula>74.98</formula>
    </cfRule>
  </conditionalFormatting>
  <conditionalFormatting sqref="BY22">
    <cfRule type="cellIs" dxfId="1288" priority="1636" operator="between">
      <formula>69.43</formula>
      <formula>80.55</formula>
    </cfRule>
    <cfRule type="cellIs" dxfId="1287" priority="1637" operator="greaterThan">
      <formula>80.55</formula>
    </cfRule>
  </conditionalFormatting>
  <conditionalFormatting sqref="CC11 CA11">
    <cfRule type="cellIs" dxfId="1286" priority="1635" operator="lessThan">
      <formula>74.98</formula>
    </cfRule>
  </conditionalFormatting>
  <conditionalFormatting sqref="CC11 CA11">
    <cfRule type="cellIs" dxfId="1285" priority="1633" operator="between">
      <formula>69.43</formula>
      <formula>80.55</formula>
    </cfRule>
    <cfRule type="cellIs" dxfId="1284" priority="1634" operator="greaterThan">
      <formula>80.55</formula>
    </cfRule>
  </conditionalFormatting>
  <conditionalFormatting sqref="CC20 CA20">
    <cfRule type="cellIs" dxfId="1283" priority="1632" operator="lessThan">
      <formula>74.98</formula>
    </cfRule>
  </conditionalFormatting>
  <conditionalFormatting sqref="CC20 CA20">
    <cfRule type="cellIs" dxfId="1282" priority="1630" operator="between">
      <formula>69.43</formula>
      <formula>80.55</formula>
    </cfRule>
    <cfRule type="cellIs" dxfId="1281" priority="1631" operator="greaterThan">
      <formula>80.55</formula>
    </cfRule>
  </conditionalFormatting>
  <conditionalFormatting sqref="CC22 CA22">
    <cfRule type="cellIs" dxfId="1280" priority="1629" operator="lessThan">
      <formula>74.98</formula>
    </cfRule>
  </conditionalFormatting>
  <conditionalFormatting sqref="CC22 CA22">
    <cfRule type="cellIs" dxfId="1279" priority="1627" operator="between">
      <formula>69.43</formula>
      <formula>80.55</formula>
    </cfRule>
    <cfRule type="cellIs" dxfId="1278" priority="1628" operator="greaterThan">
      <formula>80.55</formula>
    </cfRule>
  </conditionalFormatting>
  <conditionalFormatting sqref="BW6">
    <cfRule type="cellIs" dxfId="1277" priority="1623" operator="lessThan">
      <formula>74.98</formula>
    </cfRule>
  </conditionalFormatting>
  <conditionalFormatting sqref="BW6">
    <cfRule type="cellIs" dxfId="1276" priority="1621" operator="between">
      <formula>69.43</formula>
      <formula>80.55</formula>
    </cfRule>
    <cfRule type="cellIs" dxfId="1275" priority="1622" operator="greaterThan">
      <formula>80.55</formula>
    </cfRule>
  </conditionalFormatting>
  <conditionalFormatting sqref="BW19">
    <cfRule type="cellIs" dxfId="1274" priority="1620" operator="lessThan">
      <formula>74.98</formula>
    </cfRule>
  </conditionalFormatting>
  <conditionalFormatting sqref="BW19">
    <cfRule type="cellIs" dxfId="1273" priority="1618" operator="between">
      <formula>69.43</formula>
      <formula>80.55</formula>
    </cfRule>
    <cfRule type="cellIs" dxfId="1272" priority="1619" operator="greaterThan">
      <formula>80.55</formula>
    </cfRule>
  </conditionalFormatting>
  <conditionalFormatting sqref="BW21">
    <cfRule type="cellIs" dxfId="1271" priority="1617" operator="lessThan">
      <formula>74.98</formula>
    </cfRule>
  </conditionalFormatting>
  <conditionalFormatting sqref="BW21">
    <cfRule type="cellIs" dxfId="1270" priority="1615" operator="between">
      <formula>69.43</formula>
      <formula>80.55</formula>
    </cfRule>
    <cfRule type="cellIs" dxfId="1269" priority="1616" operator="greaterThan">
      <formula>80.55</formula>
    </cfRule>
  </conditionalFormatting>
  <conditionalFormatting sqref="BW22">
    <cfRule type="cellIs" dxfId="1268" priority="1614" operator="lessThan">
      <formula>74.98</formula>
    </cfRule>
  </conditionalFormatting>
  <conditionalFormatting sqref="BW22">
    <cfRule type="cellIs" dxfId="1267" priority="1612" operator="between">
      <formula>69.43</formula>
      <formula>80.55</formula>
    </cfRule>
    <cfRule type="cellIs" dxfId="1266" priority="1613" operator="greaterThan">
      <formula>80.55</formula>
    </cfRule>
  </conditionalFormatting>
  <conditionalFormatting sqref="BW23">
    <cfRule type="cellIs" dxfId="1265" priority="1611" operator="lessThan">
      <formula>74.98</formula>
    </cfRule>
  </conditionalFormatting>
  <conditionalFormatting sqref="BW23">
    <cfRule type="cellIs" dxfId="1264" priority="1609" operator="between">
      <formula>69.43</formula>
      <formula>80.55</formula>
    </cfRule>
    <cfRule type="cellIs" dxfId="1263" priority="1610" operator="greaterThan">
      <formula>80.55</formula>
    </cfRule>
  </conditionalFormatting>
  <conditionalFormatting sqref="BW25:BW29">
    <cfRule type="cellIs" dxfId="1262" priority="1608" operator="lessThan">
      <formula>74.98</formula>
    </cfRule>
  </conditionalFormatting>
  <conditionalFormatting sqref="BW25:BW29">
    <cfRule type="cellIs" dxfId="1261" priority="1606" operator="between">
      <formula>69.43</formula>
      <formula>80.55</formula>
    </cfRule>
    <cfRule type="cellIs" dxfId="1260" priority="1607" operator="greaterThan">
      <formula>80.55</formula>
    </cfRule>
  </conditionalFormatting>
  <conditionalFormatting sqref="BY19">
    <cfRule type="cellIs" dxfId="1259" priority="1605" operator="lessThan">
      <formula>74.98</formula>
    </cfRule>
  </conditionalFormatting>
  <conditionalFormatting sqref="BY19">
    <cfRule type="cellIs" dxfId="1258" priority="1603" operator="between">
      <formula>69.43</formula>
      <formula>80.55</formula>
    </cfRule>
    <cfRule type="cellIs" dxfId="1257" priority="1604" operator="greaterThan">
      <formula>80.55</formula>
    </cfRule>
  </conditionalFormatting>
  <conditionalFormatting sqref="BY21">
    <cfRule type="cellIs" dxfId="1256" priority="1602" operator="lessThan">
      <formula>74.98</formula>
    </cfRule>
  </conditionalFormatting>
  <conditionalFormatting sqref="BY21">
    <cfRule type="cellIs" dxfId="1255" priority="1600" operator="between">
      <formula>69.43</formula>
      <formula>80.55</formula>
    </cfRule>
    <cfRule type="cellIs" dxfId="1254" priority="1601" operator="greaterThan">
      <formula>80.55</formula>
    </cfRule>
  </conditionalFormatting>
  <conditionalFormatting sqref="BY25:BY29">
    <cfRule type="cellIs" dxfId="1253" priority="1599" operator="lessThan">
      <formula>74.98</formula>
    </cfRule>
  </conditionalFormatting>
  <conditionalFormatting sqref="BY25:BY29">
    <cfRule type="cellIs" dxfId="1252" priority="1597" operator="between">
      <formula>69.43</formula>
      <formula>80.55</formula>
    </cfRule>
    <cfRule type="cellIs" dxfId="1251" priority="1598" operator="greaterThan">
      <formula>80.55</formula>
    </cfRule>
  </conditionalFormatting>
  <conditionalFormatting sqref="CA13">
    <cfRule type="cellIs" dxfId="1250" priority="1596" operator="lessThan">
      <formula>74.98</formula>
    </cfRule>
  </conditionalFormatting>
  <conditionalFormatting sqref="CA13">
    <cfRule type="cellIs" dxfId="1249" priority="1594" operator="between">
      <formula>69.43</formula>
      <formula>80.55</formula>
    </cfRule>
    <cfRule type="cellIs" dxfId="1248" priority="1595" operator="greaterThan">
      <formula>80.55</formula>
    </cfRule>
  </conditionalFormatting>
  <conditionalFormatting sqref="CA19">
    <cfRule type="cellIs" dxfId="1247" priority="1593" operator="lessThan">
      <formula>74.98</formula>
    </cfRule>
  </conditionalFormatting>
  <conditionalFormatting sqref="CA19">
    <cfRule type="cellIs" dxfId="1246" priority="1591" operator="between">
      <formula>69.43</formula>
      <formula>80.55</formula>
    </cfRule>
    <cfRule type="cellIs" dxfId="1245" priority="1592" operator="greaterThan">
      <formula>80.55</formula>
    </cfRule>
  </conditionalFormatting>
  <conditionalFormatting sqref="CA21">
    <cfRule type="cellIs" dxfId="1244" priority="1590" operator="lessThan">
      <formula>74.98</formula>
    </cfRule>
  </conditionalFormatting>
  <conditionalFormatting sqref="CA21">
    <cfRule type="cellIs" dxfId="1243" priority="1588" operator="between">
      <formula>69.43</formula>
      <formula>80.55</formula>
    </cfRule>
    <cfRule type="cellIs" dxfId="1242" priority="1589" operator="greaterThan">
      <formula>80.55</formula>
    </cfRule>
  </conditionalFormatting>
  <conditionalFormatting sqref="CC13">
    <cfRule type="cellIs" dxfId="1241" priority="1587" operator="lessThan">
      <formula>74.98</formula>
    </cfRule>
  </conditionalFormatting>
  <conditionalFormatting sqref="CC13">
    <cfRule type="cellIs" dxfId="1240" priority="1585" operator="between">
      <formula>69.43</formula>
      <formula>80.55</formula>
    </cfRule>
    <cfRule type="cellIs" dxfId="1239" priority="1586" operator="greaterThan">
      <formula>80.55</formula>
    </cfRule>
  </conditionalFormatting>
  <conditionalFormatting sqref="CC19">
    <cfRule type="cellIs" dxfId="1238" priority="1584" operator="lessThan">
      <formula>74.98</formula>
    </cfRule>
  </conditionalFormatting>
  <conditionalFormatting sqref="CC19">
    <cfRule type="cellIs" dxfId="1237" priority="1582" operator="between">
      <formula>69.43</formula>
      <formula>80.55</formula>
    </cfRule>
    <cfRule type="cellIs" dxfId="1236" priority="1583" operator="greaterThan">
      <formula>80.55</formula>
    </cfRule>
  </conditionalFormatting>
  <conditionalFormatting sqref="CJ12 CL12">
    <cfRule type="cellIs" dxfId="1235" priority="1581" operator="lessThan">
      <formula>74.98</formula>
    </cfRule>
  </conditionalFormatting>
  <conditionalFormatting sqref="CJ12 CL12">
    <cfRule type="cellIs" dxfId="1234" priority="1579" operator="between">
      <formula>69.43</formula>
      <formula>80.55</formula>
    </cfRule>
    <cfRule type="cellIs" dxfId="1233" priority="1580" operator="greaterThan">
      <formula>80.55</formula>
    </cfRule>
  </conditionalFormatting>
  <conditionalFormatting sqref="CF2:CF3 CF15 CF10 CL17 CJ17 CH17 CL21 CJ2:CJ10 CL2:CL10">
    <cfRule type="cellIs" dxfId="1232" priority="1578" operator="lessThan">
      <formula>74.98</formula>
    </cfRule>
  </conditionalFormatting>
  <conditionalFormatting sqref="CF2:CF3 CF15 CF10 CL17 CJ17 CH17 CL21 CJ2:CJ10 CL2:CL10">
    <cfRule type="cellIs" dxfId="1231" priority="1576" operator="between">
      <formula>69.43</formula>
      <formula>80.55</formula>
    </cfRule>
    <cfRule type="cellIs" dxfId="1230" priority="1577" operator="greaterThan">
      <formula>80.55</formula>
    </cfRule>
  </conditionalFormatting>
  <conditionalFormatting sqref="CF15 CF17">
    <cfRule type="cellIs" dxfId="1229" priority="1575" operator="lessThan">
      <formula>74.98</formula>
    </cfRule>
  </conditionalFormatting>
  <conditionalFormatting sqref="CF15 CF17">
    <cfRule type="cellIs" dxfId="1228" priority="1573" operator="between">
      <formula>69.43</formula>
      <formula>80.55</formula>
    </cfRule>
    <cfRule type="cellIs" dxfId="1227" priority="1574" operator="greaterThan">
      <formula>80.55</formula>
    </cfRule>
  </conditionalFormatting>
  <conditionalFormatting sqref="CL18 CJ18 CH18">
    <cfRule type="cellIs" dxfId="1226" priority="1545" operator="lessThan">
      <formula>74.98</formula>
    </cfRule>
  </conditionalFormatting>
  <conditionalFormatting sqref="CL18 CJ18 CH18">
    <cfRule type="cellIs" dxfId="1225" priority="1543" operator="between">
      <formula>69.43</formula>
      <formula>80.55</formula>
    </cfRule>
    <cfRule type="cellIs" dxfId="1224" priority="1544" operator="greaterThan">
      <formula>80.55</formula>
    </cfRule>
  </conditionalFormatting>
  <conditionalFormatting sqref="CH23 CJ23 CL23">
    <cfRule type="cellIs" dxfId="1223" priority="1539" operator="lessThan">
      <formula>74.98</formula>
    </cfRule>
  </conditionalFormatting>
  <conditionalFormatting sqref="CH23 CJ23 CL23">
    <cfRule type="cellIs" dxfId="1222" priority="1537" operator="between">
      <formula>69.43</formula>
      <formula>80.55</formula>
    </cfRule>
    <cfRule type="cellIs" dxfId="1221" priority="1538" operator="greaterThan">
      <formula>80.55</formula>
    </cfRule>
  </conditionalFormatting>
  <conditionalFormatting sqref="CF14">
    <cfRule type="cellIs" dxfId="1220" priority="1569" operator="lessThan">
      <formula>74.98</formula>
    </cfRule>
  </conditionalFormatting>
  <conditionalFormatting sqref="CF14">
    <cfRule type="cellIs" dxfId="1219" priority="1567" operator="between">
      <formula>69.43</formula>
      <formula>80.55</formula>
    </cfRule>
    <cfRule type="cellIs" dxfId="1218" priority="1568" operator="greaterThan">
      <formula>80.55</formula>
    </cfRule>
  </conditionalFormatting>
  <conditionalFormatting sqref="CF14">
    <cfRule type="cellIs" dxfId="1217" priority="1566" operator="lessThan">
      <formula>74.98</formula>
    </cfRule>
  </conditionalFormatting>
  <conditionalFormatting sqref="CF14">
    <cfRule type="cellIs" dxfId="1216" priority="1564" operator="between">
      <formula>69.43</formula>
      <formula>80.55</formula>
    </cfRule>
    <cfRule type="cellIs" dxfId="1215" priority="1565" operator="greaterThan">
      <formula>80.55</formula>
    </cfRule>
  </conditionalFormatting>
  <conditionalFormatting sqref="CF9">
    <cfRule type="cellIs" dxfId="1214" priority="1563" operator="lessThan">
      <formula>74.98</formula>
    </cfRule>
  </conditionalFormatting>
  <conditionalFormatting sqref="CF9">
    <cfRule type="cellIs" dxfId="1213" priority="1561" operator="between">
      <formula>69.43</formula>
      <formula>80.55</formula>
    </cfRule>
    <cfRule type="cellIs" dxfId="1212" priority="1562" operator="greaterThan">
      <formula>80.55</formula>
    </cfRule>
  </conditionalFormatting>
  <conditionalFormatting sqref="CF8">
    <cfRule type="cellIs" dxfId="1211" priority="1557" operator="lessThan">
      <formula>74.98</formula>
    </cfRule>
  </conditionalFormatting>
  <conditionalFormatting sqref="CF8">
    <cfRule type="cellIs" dxfId="1210" priority="1555" operator="between">
      <formula>69.43</formula>
      <formula>80.55</formula>
    </cfRule>
    <cfRule type="cellIs" dxfId="1209" priority="1556" operator="greaterThan">
      <formula>80.55</formula>
    </cfRule>
  </conditionalFormatting>
  <conditionalFormatting sqref="CF12">
    <cfRule type="cellIs" dxfId="1208" priority="1554" operator="lessThan">
      <formula>74.98</formula>
    </cfRule>
  </conditionalFormatting>
  <conditionalFormatting sqref="CF12">
    <cfRule type="cellIs" dxfId="1207" priority="1552" operator="between">
      <formula>69.43</formula>
      <formula>80.55</formula>
    </cfRule>
    <cfRule type="cellIs" dxfId="1206" priority="1553" operator="greaterThan">
      <formula>80.55</formula>
    </cfRule>
  </conditionalFormatting>
  <conditionalFormatting sqref="CL16 CJ16 CH16">
    <cfRule type="cellIs" dxfId="1205" priority="1551" operator="lessThan">
      <formula>74.98</formula>
    </cfRule>
  </conditionalFormatting>
  <conditionalFormatting sqref="CL16 CJ16 CH16">
    <cfRule type="cellIs" dxfId="1204" priority="1549" operator="between">
      <formula>69.43</formula>
      <formula>80.55</formula>
    </cfRule>
    <cfRule type="cellIs" dxfId="1203" priority="1550" operator="greaterThan">
      <formula>80.55</formula>
    </cfRule>
  </conditionalFormatting>
  <conditionalFormatting sqref="CF16">
    <cfRule type="cellIs" dxfId="1202" priority="1548" operator="lessThan">
      <formula>74.98</formula>
    </cfRule>
  </conditionalFormatting>
  <conditionalFormatting sqref="CF16">
    <cfRule type="cellIs" dxfId="1201" priority="1546" operator="between">
      <formula>69.43</formula>
      <formula>80.55</formula>
    </cfRule>
    <cfRule type="cellIs" dxfId="1200" priority="1547" operator="greaterThan">
      <formula>80.55</formula>
    </cfRule>
  </conditionalFormatting>
  <conditionalFormatting sqref="CF18">
    <cfRule type="cellIs" dxfId="1199" priority="1542" operator="lessThan">
      <formula>74.98</formula>
    </cfRule>
  </conditionalFormatting>
  <conditionalFormatting sqref="CF18">
    <cfRule type="cellIs" dxfId="1198" priority="1540" operator="between">
      <formula>69.43</formula>
      <formula>80.55</formula>
    </cfRule>
    <cfRule type="cellIs" dxfId="1197" priority="1541" operator="greaterThan">
      <formula>80.55</formula>
    </cfRule>
  </conditionalFormatting>
  <conditionalFormatting sqref="CH24 CJ24:CJ29 CL24:CL29">
    <cfRule type="cellIs" dxfId="1196" priority="1536" operator="lessThan">
      <formula>74.98</formula>
    </cfRule>
  </conditionalFormatting>
  <conditionalFormatting sqref="CH24 CJ24:CJ29 CL24:CL29">
    <cfRule type="cellIs" dxfId="1195" priority="1534" operator="between">
      <formula>69.43</formula>
      <formula>80.55</formula>
    </cfRule>
    <cfRule type="cellIs" dxfId="1194" priority="1535" operator="greaterThan">
      <formula>80.55</formula>
    </cfRule>
  </conditionalFormatting>
  <conditionalFormatting sqref="CF24">
    <cfRule type="cellIs" dxfId="1193" priority="1533" operator="lessThan">
      <formula>74.98</formula>
    </cfRule>
  </conditionalFormatting>
  <conditionalFormatting sqref="CF24">
    <cfRule type="cellIs" dxfId="1192" priority="1531" operator="between">
      <formula>69.43</formula>
      <formula>80.55</formula>
    </cfRule>
    <cfRule type="cellIs" dxfId="1191" priority="1532" operator="greaterThan">
      <formula>80.55</formula>
    </cfRule>
  </conditionalFormatting>
  <conditionalFormatting sqref="CF4">
    <cfRule type="cellIs" dxfId="1190" priority="1530" operator="lessThan">
      <formula>74.98</formula>
    </cfRule>
  </conditionalFormatting>
  <conditionalFormatting sqref="CF4">
    <cfRule type="cellIs" dxfId="1189" priority="1528" operator="between">
      <formula>69.43</formula>
      <formula>80.55</formula>
    </cfRule>
    <cfRule type="cellIs" dxfId="1188" priority="1529" operator="greaterThan">
      <formula>80.55</formula>
    </cfRule>
  </conditionalFormatting>
  <conditionalFormatting sqref="CF11">
    <cfRule type="cellIs" dxfId="1187" priority="1527" operator="lessThan">
      <formula>74.98</formula>
    </cfRule>
  </conditionalFormatting>
  <conditionalFormatting sqref="CF11">
    <cfRule type="cellIs" dxfId="1186" priority="1525" operator="between">
      <formula>69.43</formula>
      <formula>80.55</formula>
    </cfRule>
    <cfRule type="cellIs" dxfId="1185" priority="1526" operator="greaterThan">
      <formula>80.55</formula>
    </cfRule>
  </conditionalFormatting>
  <conditionalFormatting sqref="CF20">
    <cfRule type="cellIs" dxfId="1184" priority="1521" operator="lessThan">
      <formula>74.98</formula>
    </cfRule>
  </conditionalFormatting>
  <conditionalFormatting sqref="CF20">
    <cfRule type="cellIs" dxfId="1183" priority="1519" operator="between">
      <formula>69.43</formula>
      <formula>80.55</formula>
    </cfRule>
    <cfRule type="cellIs" dxfId="1182" priority="1520" operator="greaterThan">
      <formula>80.55</formula>
    </cfRule>
  </conditionalFormatting>
  <conditionalFormatting sqref="CH20">
    <cfRule type="cellIs" dxfId="1181" priority="1518" operator="lessThan">
      <formula>74.98</formula>
    </cfRule>
  </conditionalFormatting>
  <conditionalFormatting sqref="CH20">
    <cfRule type="cellIs" dxfId="1180" priority="1516" operator="between">
      <formula>69.43</formula>
      <formula>80.55</formula>
    </cfRule>
    <cfRule type="cellIs" dxfId="1179" priority="1517" operator="greaterThan">
      <formula>80.55</formula>
    </cfRule>
  </conditionalFormatting>
  <conditionalFormatting sqref="CH22">
    <cfRule type="cellIs" dxfId="1178" priority="1515" operator="lessThan">
      <formula>74.98</formula>
    </cfRule>
  </conditionalFormatting>
  <conditionalFormatting sqref="CH22">
    <cfRule type="cellIs" dxfId="1177" priority="1513" operator="between">
      <formula>69.43</formula>
      <formula>80.55</formula>
    </cfRule>
    <cfRule type="cellIs" dxfId="1176" priority="1514" operator="greaterThan">
      <formula>80.55</formula>
    </cfRule>
  </conditionalFormatting>
  <conditionalFormatting sqref="CL11 CJ11">
    <cfRule type="cellIs" dxfId="1175" priority="1512" operator="lessThan">
      <formula>74.98</formula>
    </cfRule>
  </conditionalFormatting>
  <conditionalFormatting sqref="CL11 CJ11">
    <cfRule type="cellIs" dxfId="1174" priority="1510" operator="between">
      <formula>69.43</formula>
      <formula>80.55</formula>
    </cfRule>
    <cfRule type="cellIs" dxfId="1173" priority="1511" operator="greaterThan">
      <formula>80.55</formula>
    </cfRule>
  </conditionalFormatting>
  <conditionalFormatting sqref="CL20 CJ20">
    <cfRule type="cellIs" dxfId="1172" priority="1509" operator="lessThan">
      <formula>74.98</formula>
    </cfRule>
  </conditionalFormatting>
  <conditionalFormatting sqref="CL20 CJ20">
    <cfRule type="cellIs" dxfId="1171" priority="1507" operator="between">
      <formula>69.43</formula>
      <formula>80.55</formula>
    </cfRule>
    <cfRule type="cellIs" dxfId="1170" priority="1508" operator="greaterThan">
      <formula>80.55</formula>
    </cfRule>
  </conditionalFormatting>
  <conditionalFormatting sqref="CL22 CJ22">
    <cfRule type="cellIs" dxfId="1169" priority="1506" operator="lessThan">
      <formula>74.98</formula>
    </cfRule>
  </conditionalFormatting>
  <conditionalFormatting sqref="CL22 CJ22">
    <cfRule type="cellIs" dxfId="1168" priority="1504" operator="between">
      <formula>69.43</formula>
      <formula>80.55</formula>
    </cfRule>
    <cfRule type="cellIs" dxfId="1167" priority="1505" operator="greaterThan">
      <formula>80.55</formula>
    </cfRule>
  </conditionalFormatting>
  <conditionalFormatting sqref="CF6">
    <cfRule type="cellIs" dxfId="1166" priority="1500" operator="lessThan">
      <formula>74.98</formula>
    </cfRule>
  </conditionalFormatting>
  <conditionalFormatting sqref="CF6">
    <cfRule type="cellIs" dxfId="1165" priority="1498" operator="between">
      <formula>69.43</formula>
      <formula>80.55</formula>
    </cfRule>
    <cfRule type="cellIs" dxfId="1164" priority="1499" operator="greaterThan">
      <formula>80.55</formula>
    </cfRule>
  </conditionalFormatting>
  <conditionalFormatting sqref="CF19">
    <cfRule type="cellIs" dxfId="1163" priority="1497" operator="lessThan">
      <formula>74.98</formula>
    </cfRule>
  </conditionalFormatting>
  <conditionalFormatting sqref="CF19">
    <cfRule type="cellIs" dxfId="1162" priority="1495" operator="between">
      <formula>69.43</formula>
      <formula>80.55</formula>
    </cfRule>
    <cfRule type="cellIs" dxfId="1161" priority="1496" operator="greaterThan">
      <formula>80.55</formula>
    </cfRule>
  </conditionalFormatting>
  <conditionalFormatting sqref="CF21">
    <cfRule type="cellIs" dxfId="1160" priority="1494" operator="lessThan">
      <formula>74.98</formula>
    </cfRule>
  </conditionalFormatting>
  <conditionalFormatting sqref="CF21">
    <cfRule type="cellIs" dxfId="1159" priority="1492" operator="between">
      <formula>69.43</formula>
      <formula>80.55</formula>
    </cfRule>
    <cfRule type="cellIs" dxfId="1158" priority="1493" operator="greaterThan">
      <formula>80.55</formula>
    </cfRule>
  </conditionalFormatting>
  <conditionalFormatting sqref="CF22">
    <cfRule type="cellIs" dxfId="1157" priority="1491" operator="lessThan">
      <formula>74.98</formula>
    </cfRule>
  </conditionalFormatting>
  <conditionalFormatting sqref="CF22">
    <cfRule type="cellIs" dxfId="1156" priority="1489" operator="between">
      <formula>69.43</formula>
      <formula>80.55</formula>
    </cfRule>
    <cfRule type="cellIs" dxfId="1155" priority="1490" operator="greaterThan">
      <formula>80.55</formula>
    </cfRule>
  </conditionalFormatting>
  <conditionalFormatting sqref="CF23">
    <cfRule type="cellIs" dxfId="1154" priority="1488" operator="lessThan">
      <formula>74.98</formula>
    </cfRule>
  </conditionalFormatting>
  <conditionalFormatting sqref="CF23">
    <cfRule type="cellIs" dxfId="1153" priority="1486" operator="between">
      <formula>69.43</formula>
      <formula>80.55</formula>
    </cfRule>
    <cfRule type="cellIs" dxfId="1152" priority="1487" operator="greaterThan">
      <formula>80.55</formula>
    </cfRule>
  </conditionalFormatting>
  <conditionalFormatting sqref="CF25 CF29">
    <cfRule type="cellIs" dxfId="1151" priority="1485" operator="lessThan">
      <formula>74.98</formula>
    </cfRule>
  </conditionalFormatting>
  <conditionalFormatting sqref="CF25 CF29">
    <cfRule type="cellIs" dxfId="1150" priority="1483" operator="between">
      <formula>69.43</formula>
      <formula>80.55</formula>
    </cfRule>
    <cfRule type="cellIs" dxfId="1149" priority="1484" operator="greaterThan">
      <formula>80.55</formula>
    </cfRule>
  </conditionalFormatting>
  <conditionalFormatting sqref="CH19">
    <cfRule type="cellIs" dxfId="1148" priority="1482" operator="lessThan">
      <formula>74.98</formula>
    </cfRule>
  </conditionalFormatting>
  <conditionalFormatting sqref="CH19">
    <cfRule type="cellIs" dxfId="1147" priority="1480" operator="between">
      <formula>69.43</formula>
      <formula>80.55</formula>
    </cfRule>
    <cfRule type="cellIs" dxfId="1146" priority="1481" operator="greaterThan">
      <formula>80.55</formula>
    </cfRule>
  </conditionalFormatting>
  <conditionalFormatting sqref="CH21">
    <cfRule type="cellIs" dxfId="1145" priority="1479" operator="lessThan">
      <formula>74.98</formula>
    </cfRule>
  </conditionalFormatting>
  <conditionalFormatting sqref="CH21">
    <cfRule type="cellIs" dxfId="1144" priority="1477" operator="between">
      <formula>69.43</formula>
      <formula>80.55</formula>
    </cfRule>
    <cfRule type="cellIs" dxfId="1143" priority="1478" operator="greaterThan">
      <formula>80.55</formula>
    </cfRule>
  </conditionalFormatting>
  <conditionalFormatting sqref="CH25:CH29">
    <cfRule type="cellIs" dxfId="1142" priority="1476" operator="lessThan">
      <formula>74.98</formula>
    </cfRule>
  </conditionalFormatting>
  <conditionalFormatting sqref="CH25:CH29">
    <cfRule type="cellIs" dxfId="1141" priority="1474" operator="between">
      <formula>69.43</formula>
      <formula>80.55</formula>
    </cfRule>
    <cfRule type="cellIs" dxfId="1140" priority="1475" operator="greaterThan">
      <formula>80.55</formula>
    </cfRule>
  </conditionalFormatting>
  <conditionalFormatting sqref="CJ13">
    <cfRule type="cellIs" dxfId="1139" priority="1473" operator="lessThan">
      <formula>74.98</formula>
    </cfRule>
  </conditionalFormatting>
  <conditionalFormatting sqref="CJ13">
    <cfRule type="cellIs" dxfId="1138" priority="1471" operator="between">
      <formula>69.43</formula>
      <formula>80.55</formula>
    </cfRule>
    <cfRule type="cellIs" dxfId="1137" priority="1472" operator="greaterThan">
      <formula>80.55</formula>
    </cfRule>
  </conditionalFormatting>
  <conditionalFormatting sqref="CJ19">
    <cfRule type="cellIs" dxfId="1136" priority="1470" operator="lessThan">
      <formula>74.98</formula>
    </cfRule>
  </conditionalFormatting>
  <conditionalFormatting sqref="CJ19">
    <cfRule type="cellIs" dxfId="1135" priority="1468" operator="between">
      <formula>69.43</formula>
      <formula>80.55</formula>
    </cfRule>
    <cfRule type="cellIs" dxfId="1134" priority="1469" operator="greaterThan">
      <formula>80.55</formula>
    </cfRule>
  </conditionalFormatting>
  <conditionalFormatting sqref="CJ21">
    <cfRule type="cellIs" dxfId="1133" priority="1467" operator="lessThan">
      <formula>74.98</formula>
    </cfRule>
  </conditionalFormatting>
  <conditionalFormatting sqref="CJ21">
    <cfRule type="cellIs" dxfId="1132" priority="1465" operator="between">
      <formula>69.43</formula>
      <formula>80.55</formula>
    </cfRule>
    <cfRule type="cellIs" dxfId="1131" priority="1466" operator="greaterThan">
      <formula>80.55</formula>
    </cfRule>
  </conditionalFormatting>
  <conditionalFormatting sqref="CL13">
    <cfRule type="cellIs" dxfId="1130" priority="1464" operator="lessThan">
      <formula>74.98</formula>
    </cfRule>
  </conditionalFormatting>
  <conditionalFormatting sqref="CL13">
    <cfRule type="cellIs" dxfId="1129" priority="1462" operator="between">
      <formula>69.43</formula>
      <formula>80.55</formula>
    </cfRule>
    <cfRule type="cellIs" dxfId="1128" priority="1463" operator="greaterThan">
      <formula>80.55</formula>
    </cfRule>
  </conditionalFormatting>
  <conditionalFormatting sqref="CL19">
    <cfRule type="cellIs" dxfId="1127" priority="1461" operator="lessThan">
      <formula>74.98</formula>
    </cfRule>
  </conditionalFormatting>
  <conditionalFormatting sqref="CL19">
    <cfRule type="cellIs" dxfId="1126" priority="1459" operator="between">
      <formula>69.43</formula>
      <formula>80.55</formula>
    </cfRule>
    <cfRule type="cellIs" dxfId="1125" priority="1460" operator="greaterThan">
      <formula>80.55</formula>
    </cfRule>
  </conditionalFormatting>
  <conditionalFormatting sqref="CF5">
    <cfRule type="cellIs" dxfId="1124" priority="1458" operator="lessThan">
      <formula>74.98</formula>
    </cfRule>
  </conditionalFormatting>
  <conditionalFormatting sqref="CF5">
    <cfRule type="cellIs" dxfId="1123" priority="1456" operator="between">
      <formula>69.43</formula>
      <formula>80.55</formula>
    </cfRule>
    <cfRule type="cellIs" dxfId="1122" priority="1457" operator="greaterThan">
      <formula>80.55</formula>
    </cfRule>
  </conditionalFormatting>
  <conditionalFormatting sqref="CF7">
    <cfRule type="cellIs" dxfId="1121" priority="1455" operator="lessThan">
      <formula>74.98</formula>
    </cfRule>
  </conditionalFormatting>
  <conditionalFormatting sqref="CF7">
    <cfRule type="cellIs" dxfId="1120" priority="1453" operator="between">
      <formula>69.43</formula>
      <formula>80.55</formula>
    </cfRule>
    <cfRule type="cellIs" dxfId="1119" priority="1454" operator="greaterThan">
      <formula>80.55</formula>
    </cfRule>
  </conditionalFormatting>
  <conditionalFormatting sqref="CF13">
    <cfRule type="cellIs" dxfId="1118" priority="1452" operator="lessThan">
      <formula>74.98</formula>
    </cfRule>
  </conditionalFormatting>
  <conditionalFormatting sqref="CF13">
    <cfRule type="cellIs" dxfId="1117" priority="1450" operator="between">
      <formula>69.43</formula>
      <formula>80.55</formula>
    </cfRule>
    <cfRule type="cellIs" dxfId="1116" priority="1451" operator="greaterThan">
      <formula>80.55</formula>
    </cfRule>
  </conditionalFormatting>
  <conditionalFormatting sqref="CF26">
    <cfRule type="cellIs" dxfId="1115" priority="1449" operator="lessThan">
      <formula>74.98</formula>
    </cfRule>
  </conditionalFormatting>
  <conditionalFormatting sqref="CF26">
    <cfRule type="cellIs" dxfId="1114" priority="1447" operator="between">
      <formula>69.43</formula>
      <formula>80.55</formula>
    </cfRule>
    <cfRule type="cellIs" dxfId="1113" priority="1448" operator="greaterThan">
      <formula>80.55</formula>
    </cfRule>
  </conditionalFormatting>
  <conditionalFormatting sqref="CF27">
    <cfRule type="cellIs" dxfId="1112" priority="1446" operator="lessThan">
      <formula>74.98</formula>
    </cfRule>
  </conditionalFormatting>
  <conditionalFormatting sqref="CF27">
    <cfRule type="cellIs" dxfId="1111" priority="1444" operator="between">
      <formula>69.43</formula>
      <formula>80.55</formula>
    </cfRule>
    <cfRule type="cellIs" dxfId="1110" priority="1445" operator="greaterThan">
      <formula>80.55</formula>
    </cfRule>
  </conditionalFormatting>
  <conditionalFormatting sqref="CF28">
    <cfRule type="cellIs" dxfId="1109" priority="1443" operator="lessThan">
      <formula>74.98</formula>
    </cfRule>
  </conditionalFormatting>
  <conditionalFormatting sqref="CF28">
    <cfRule type="cellIs" dxfId="1108" priority="1441" operator="between">
      <formula>69.43</formula>
      <formula>80.55</formula>
    </cfRule>
    <cfRule type="cellIs" dxfId="1107" priority="1442" operator="greaterThan">
      <formula>80.55</formula>
    </cfRule>
  </conditionalFormatting>
  <conditionalFormatting sqref="CS12 CU12">
    <cfRule type="cellIs" dxfId="1106" priority="1440" operator="lessThan">
      <formula>74.98</formula>
    </cfRule>
  </conditionalFormatting>
  <conditionalFormatting sqref="CS12 CU12">
    <cfRule type="cellIs" dxfId="1105" priority="1438" operator="between">
      <formula>69.43</formula>
      <formula>80.55</formula>
    </cfRule>
    <cfRule type="cellIs" dxfId="1104" priority="1439" operator="greaterThan">
      <formula>80.55</formula>
    </cfRule>
  </conditionalFormatting>
  <conditionalFormatting sqref="CO2:CO3 CO15 CO10 CU17 CS17 CQ17 CU21 CS2:CS9 CU2:CU9">
    <cfRule type="cellIs" dxfId="1103" priority="1437" operator="lessThan">
      <formula>74.98</formula>
    </cfRule>
  </conditionalFormatting>
  <conditionalFormatting sqref="CO2:CO3 CO15 CO10 CU17 CS17 CQ17 CU21 CS2:CS9 CU2:CU9">
    <cfRule type="cellIs" dxfId="1102" priority="1435" operator="between">
      <formula>69.43</formula>
      <formula>80.55</formula>
    </cfRule>
    <cfRule type="cellIs" dxfId="1101" priority="1436" operator="greaterThan">
      <formula>80.55</formula>
    </cfRule>
  </conditionalFormatting>
  <conditionalFormatting sqref="CO15 CO17">
    <cfRule type="cellIs" dxfId="1100" priority="1434" operator="lessThan">
      <formula>74.98</formula>
    </cfRule>
  </conditionalFormatting>
  <conditionalFormatting sqref="CO15 CO17">
    <cfRule type="cellIs" dxfId="1099" priority="1432" operator="between">
      <formula>69.43</formula>
      <formula>80.55</formula>
    </cfRule>
    <cfRule type="cellIs" dxfId="1098" priority="1433" operator="greaterThan">
      <formula>80.55</formula>
    </cfRule>
  </conditionalFormatting>
  <conditionalFormatting sqref="CQ23 CS23 CU23">
    <cfRule type="cellIs" dxfId="1097" priority="1401" operator="lessThan">
      <formula>74.98</formula>
    </cfRule>
  </conditionalFormatting>
  <conditionalFormatting sqref="CQ23 CS23 CU23">
    <cfRule type="cellIs" dxfId="1096" priority="1399" operator="between">
      <formula>69.43</formula>
      <formula>80.55</formula>
    </cfRule>
    <cfRule type="cellIs" dxfId="1095" priority="1400" operator="greaterThan">
      <formula>80.55</formula>
    </cfRule>
  </conditionalFormatting>
  <conditionalFormatting sqref="CO14">
    <cfRule type="cellIs" dxfId="1094" priority="1431" operator="lessThan">
      <formula>74.98</formula>
    </cfRule>
  </conditionalFormatting>
  <conditionalFormatting sqref="CO14">
    <cfRule type="cellIs" dxfId="1093" priority="1429" operator="between">
      <formula>69.43</formula>
      <formula>80.55</formula>
    </cfRule>
    <cfRule type="cellIs" dxfId="1092" priority="1430" operator="greaterThan">
      <formula>80.55</formula>
    </cfRule>
  </conditionalFormatting>
  <conditionalFormatting sqref="CO14">
    <cfRule type="cellIs" dxfId="1091" priority="1428" operator="lessThan">
      <formula>74.98</formula>
    </cfRule>
  </conditionalFormatting>
  <conditionalFormatting sqref="CO14">
    <cfRule type="cellIs" dxfId="1090" priority="1426" operator="between">
      <formula>69.43</formula>
      <formula>80.55</formula>
    </cfRule>
    <cfRule type="cellIs" dxfId="1089" priority="1427" operator="greaterThan">
      <formula>80.55</formula>
    </cfRule>
  </conditionalFormatting>
  <conditionalFormatting sqref="CO9">
    <cfRule type="cellIs" dxfId="1088" priority="1425" operator="lessThan">
      <formula>74.98</formula>
    </cfRule>
  </conditionalFormatting>
  <conditionalFormatting sqref="CO9">
    <cfRule type="cellIs" dxfId="1087" priority="1423" operator="between">
      <formula>69.43</formula>
      <formula>80.55</formula>
    </cfRule>
    <cfRule type="cellIs" dxfId="1086" priority="1424" operator="greaterThan">
      <formula>80.55</formula>
    </cfRule>
  </conditionalFormatting>
  <conditionalFormatting sqref="CO8">
    <cfRule type="cellIs" dxfId="1085" priority="1419" operator="lessThan">
      <formula>74.98</formula>
    </cfRule>
  </conditionalFormatting>
  <conditionalFormatting sqref="CO8">
    <cfRule type="cellIs" dxfId="1084" priority="1417" operator="between">
      <formula>69.43</formula>
      <formula>80.55</formula>
    </cfRule>
    <cfRule type="cellIs" dxfId="1083" priority="1418" operator="greaterThan">
      <formula>80.55</formula>
    </cfRule>
  </conditionalFormatting>
  <conditionalFormatting sqref="CO12">
    <cfRule type="cellIs" dxfId="1082" priority="1416" operator="lessThan">
      <formula>74.98</formula>
    </cfRule>
  </conditionalFormatting>
  <conditionalFormatting sqref="CO12">
    <cfRule type="cellIs" dxfId="1081" priority="1414" operator="between">
      <formula>69.43</formula>
      <formula>80.55</formula>
    </cfRule>
    <cfRule type="cellIs" dxfId="1080" priority="1415" operator="greaterThan">
      <formula>80.55</formula>
    </cfRule>
  </conditionalFormatting>
  <conditionalFormatting sqref="CS25:CS28 CU25:CU28">
    <cfRule type="cellIs" dxfId="1079" priority="1398" operator="lessThan">
      <formula>74.98</formula>
    </cfRule>
  </conditionalFormatting>
  <conditionalFormatting sqref="CS25:CS28 CU25:CU28">
    <cfRule type="cellIs" dxfId="1078" priority="1396" operator="between">
      <formula>69.43</formula>
      <formula>80.55</formula>
    </cfRule>
    <cfRule type="cellIs" dxfId="1077" priority="1397" operator="greaterThan">
      <formula>80.55</formula>
    </cfRule>
  </conditionalFormatting>
  <conditionalFormatting sqref="CO4">
    <cfRule type="cellIs" dxfId="1076" priority="1392" operator="lessThan">
      <formula>74.98</formula>
    </cfRule>
  </conditionalFormatting>
  <conditionalFormatting sqref="CO4">
    <cfRule type="cellIs" dxfId="1075" priority="1390" operator="between">
      <formula>69.43</formula>
      <formula>80.55</formula>
    </cfRule>
    <cfRule type="cellIs" dxfId="1074" priority="1391" operator="greaterThan">
      <formula>80.55</formula>
    </cfRule>
  </conditionalFormatting>
  <conditionalFormatting sqref="CO11">
    <cfRule type="cellIs" dxfId="1073" priority="1389" operator="lessThan">
      <formula>74.98</formula>
    </cfRule>
  </conditionalFormatting>
  <conditionalFormatting sqref="CO11">
    <cfRule type="cellIs" dxfId="1072" priority="1387" operator="between">
      <formula>69.43</formula>
      <formula>80.55</formula>
    </cfRule>
    <cfRule type="cellIs" dxfId="1071" priority="1388" operator="greaterThan">
      <formula>80.55</formula>
    </cfRule>
  </conditionalFormatting>
  <conditionalFormatting sqref="CO20">
    <cfRule type="cellIs" dxfId="1070" priority="1383" operator="lessThan">
      <formula>74.98</formula>
    </cfRule>
  </conditionalFormatting>
  <conditionalFormatting sqref="CO20">
    <cfRule type="cellIs" dxfId="1069" priority="1381" operator="between">
      <formula>69.43</formula>
      <formula>80.55</formula>
    </cfRule>
    <cfRule type="cellIs" dxfId="1068" priority="1382" operator="greaterThan">
      <formula>80.55</formula>
    </cfRule>
  </conditionalFormatting>
  <conditionalFormatting sqref="CQ20">
    <cfRule type="cellIs" dxfId="1067" priority="1380" operator="lessThan">
      <formula>74.98</formula>
    </cfRule>
  </conditionalFormatting>
  <conditionalFormatting sqref="CQ20">
    <cfRule type="cellIs" dxfId="1066" priority="1378" operator="between">
      <formula>69.43</formula>
      <formula>80.55</formula>
    </cfRule>
    <cfRule type="cellIs" dxfId="1065" priority="1379" operator="greaterThan">
      <formula>80.55</formula>
    </cfRule>
  </conditionalFormatting>
  <conditionalFormatting sqref="CQ22">
    <cfRule type="cellIs" dxfId="1064" priority="1377" operator="lessThan">
      <formula>74.98</formula>
    </cfRule>
  </conditionalFormatting>
  <conditionalFormatting sqref="CQ22">
    <cfRule type="cellIs" dxfId="1063" priority="1375" operator="between">
      <formula>69.43</formula>
      <formula>80.55</formula>
    </cfRule>
    <cfRule type="cellIs" dxfId="1062" priority="1376" operator="greaterThan">
      <formula>80.55</formula>
    </cfRule>
  </conditionalFormatting>
  <conditionalFormatting sqref="CU11 CS11">
    <cfRule type="cellIs" dxfId="1061" priority="1374" operator="lessThan">
      <formula>74.98</formula>
    </cfRule>
  </conditionalFormatting>
  <conditionalFormatting sqref="CU11 CS11">
    <cfRule type="cellIs" dxfId="1060" priority="1372" operator="between">
      <formula>69.43</formula>
      <formula>80.55</formula>
    </cfRule>
    <cfRule type="cellIs" dxfId="1059" priority="1373" operator="greaterThan">
      <formula>80.55</formula>
    </cfRule>
  </conditionalFormatting>
  <conditionalFormatting sqref="CU20 CS20">
    <cfRule type="cellIs" dxfId="1058" priority="1371" operator="lessThan">
      <formula>74.98</formula>
    </cfRule>
  </conditionalFormatting>
  <conditionalFormatting sqref="CU20 CS20">
    <cfRule type="cellIs" dxfId="1057" priority="1369" operator="between">
      <formula>69.43</formula>
      <formula>80.55</formula>
    </cfRule>
    <cfRule type="cellIs" dxfId="1056" priority="1370" operator="greaterThan">
      <formula>80.55</formula>
    </cfRule>
  </conditionalFormatting>
  <conditionalFormatting sqref="CU22 CS22">
    <cfRule type="cellIs" dxfId="1055" priority="1368" operator="lessThan">
      <formula>74.98</formula>
    </cfRule>
  </conditionalFormatting>
  <conditionalFormatting sqref="CU22 CS22">
    <cfRule type="cellIs" dxfId="1054" priority="1366" operator="between">
      <formula>69.43</formula>
      <formula>80.55</formula>
    </cfRule>
    <cfRule type="cellIs" dxfId="1053" priority="1367" operator="greaterThan">
      <formula>80.55</formula>
    </cfRule>
  </conditionalFormatting>
  <conditionalFormatting sqref="CO6">
    <cfRule type="cellIs" dxfId="1052" priority="1362" operator="lessThan">
      <formula>74.98</formula>
    </cfRule>
  </conditionalFormatting>
  <conditionalFormatting sqref="CO6">
    <cfRule type="cellIs" dxfId="1051" priority="1360" operator="between">
      <formula>69.43</formula>
      <formula>80.55</formula>
    </cfRule>
    <cfRule type="cellIs" dxfId="1050" priority="1361" operator="greaterThan">
      <formula>80.55</formula>
    </cfRule>
  </conditionalFormatting>
  <conditionalFormatting sqref="CO19">
    <cfRule type="cellIs" dxfId="1049" priority="1359" operator="lessThan">
      <formula>74.98</formula>
    </cfRule>
  </conditionalFormatting>
  <conditionalFormatting sqref="CO19">
    <cfRule type="cellIs" dxfId="1048" priority="1357" operator="between">
      <formula>69.43</formula>
      <formula>80.55</formula>
    </cfRule>
    <cfRule type="cellIs" dxfId="1047" priority="1358" operator="greaterThan">
      <formula>80.55</formula>
    </cfRule>
  </conditionalFormatting>
  <conditionalFormatting sqref="CO21">
    <cfRule type="cellIs" dxfId="1046" priority="1356" operator="lessThan">
      <formula>74.98</formula>
    </cfRule>
  </conditionalFormatting>
  <conditionalFormatting sqref="CO21">
    <cfRule type="cellIs" dxfId="1045" priority="1354" operator="between">
      <formula>69.43</formula>
      <formula>80.55</formula>
    </cfRule>
    <cfRule type="cellIs" dxfId="1044" priority="1355" operator="greaterThan">
      <formula>80.55</formula>
    </cfRule>
  </conditionalFormatting>
  <conditionalFormatting sqref="CO22">
    <cfRule type="cellIs" dxfId="1043" priority="1353" operator="lessThan">
      <formula>74.98</formula>
    </cfRule>
  </conditionalFormatting>
  <conditionalFormatting sqref="CO22">
    <cfRule type="cellIs" dxfId="1042" priority="1351" operator="between">
      <formula>69.43</formula>
      <formula>80.55</formula>
    </cfRule>
    <cfRule type="cellIs" dxfId="1041" priority="1352" operator="greaterThan">
      <formula>80.55</formula>
    </cfRule>
  </conditionalFormatting>
  <conditionalFormatting sqref="CO23">
    <cfRule type="cellIs" dxfId="1040" priority="1350" operator="lessThan">
      <formula>74.98</formula>
    </cfRule>
  </conditionalFormatting>
  <conditionalFormatting sqref="CO23">
    <cfRule type="cellIs" dxfId="1039" priority="1348" operator="between">
      <formula>69.43</formula>
      <formula>80.55</formula>
    </cfRule>
    <cfRule type="cellIs" dxfId="1038" priority="1349" operator="greaterThan">
      <formula>80.55</formula>
    </cfRule>
  </conditionalFormatting>
  <conditionalFormatting sqref="CO25">
    <cfRule type="cellIs" dxfId="1037" priority="1347" operator="lessThan">
      <formula>74.98</formula>
    </cfRule>
  </conditionalFormatting>
  <conditionalFormatting sqref="CO25">
    <cfRule type="cellIs" dxfId="1036" priority="1345" operator="between">
      <formula>69.43</formula>
      <formula>80.55</formula>
    </cfRule>
    <cfRule type="cellIs" dxfId="1035" priority="1346" operator="greaterThan">
      <formula>80.55</formula>
    </cfRule>
  </conditionalFormatting>
  <conditionalFormatting sqref="CQ19">
    <cfRule type="cellIs" dxfId="1034" priority="1344" operator="lessThan">
      <formula>74.98</formula>
    </cfRule>
  </conditionalFormatting>
  <conditionalFormatting sqref="CQ19">
    <cfRule type="cellIs" dxfId="1033" priority="1342" operator="between">
      <formula>69.43</formula>
      <formula>80.55</formula>
    </cfRule>
    <cfRule type="cellIs" dxfId="1032" priority="1343" operator="greaterThan">
      <formula>80.55</formula>
    </cfRule>
  </conditionalFormatting>
  <conditionalFormatting sqref="CQ21">
    <cfRule type="cellIs" dxfId="1031" priority="1341" operator="lessThan">
      <formula>74.98</formula>
    </cfRule>
  </conditionalFormatting>
  <conditionalFormatting sqref="CQ21">
    <cfRule type="cellIs" dxfId="1030" priority="1339" operator="between">
      <formula>69.43</formula>
      <formula>80.55</formula>
    </cfRule>
    <cfRule type="cellIs" dxfId="1029" priority="1340" operator="greaterThan">
      <formula>80.55</formula>
    </cfRule>
  </conditionalFormatting>
  <conditionalFormatting sqref="CQ25:CQ28">
    <cfRule type="cellIs" dxfId="1028" priority="1338" operator="lessThan">
      <formula>74.98</formula>
    </cfRule>
  </conditionalFormatting>
  <conditionalFormatting sqref="CQ25:CQ28">
    <cfRule type="cellIs" dxfId="1027" priority="1336" operator="between">
      <formula>69.43</formula>
      <formula>80.55</formula>
    </cfRule>
    <cfRule type="cellIs" dxfId="1026" priority="1337" operator="greaterThan">
      <formula>80.55</formula>
    </cfRule>
  </conditionalFormatting>
  <conditionalFormatting sqref="CS13">
    <cfRule type="cellIs" dxfId="1025" priority="1335" operator="lessThan">
      <formula>74.98</formula>
    </cfRule>
  </conditionalFormatting>
  <conditionalFormatting sqref="CS13">
    <cfRule type="cellIs" dxfId="1024" priority="1333" operator="between">
      <formula>69.43</formula>
      <formula>80.55</formula>
    </cfRule>
    <cfRule type="cellIs" dxfId="1023" priority="1334" operator="greaterThan">
      <formula>80.55</formula>
    </cfRule>
  </conditionalFormatting>
  <conditionalFormatting sqref="CS19">
    <cfRule type="cellIs" dxfId="1022" priority="1332" operator="lessThan">
      <formula>74.98</formula>
    </cfRule>
  </conditionalFormatting>
  <conditionalFormatting sqref="CS19">
    <cfRule type="cellIs" dxfId="1021" priority="1330" operator="between">
      <formula>69.43</formula>
      <formula>80.55</formula>
    </cfRule>
    <cfRule type="cellIs" dxfId="1020" priority="1331" operator="greaterThan">
      <formula>80.55</formula>
    </cfRule>
  </conditionalFormatting>
  <conditionalFormatting sqref="CS21">
    <cfRule type="cellIs" dxfId="1019" priority="1329" operator="lessThan">
      <formula>74.98</formula>
    </cfRule>
  </conditionalFormatting>
  <conditionalFormatting sqref="CS21">
    <cfRule type="cellIs" dxfId="1018" priority="1327" operator="between">
      <formula>69.43</formula>
      <formula>80.55</formula>
    </cfRule>
    <cfRule type="cellIs" dxfId="1017" priority="1328" operator="greaterThan">
      <formula>80.55</formula>
    </cfRule>
  </conditionalFormatting>
  <conditionalFormatting sqref="CU13">
    <cfRule type="cellIs" dxfId="1016" priority="1326" operator="lessThan">
      <formula>74.98</formula>
    </cfRule>
  </conditionalFormatting>
  <conditionalFormatting sqref="CU13">
    <cfRule type="cellIs" dxfId="1015" priority="1324" operator="between">
      <formula>69.43</formula>
      <formula>80.55</formula>
    </cfRule>
    <cfRule type="cellIs" dxfId="1014" priority="1325" operator="greaterThan">
      <formula>80.55</formula>
    </cfRule>
  </conditionalFormatting>
  <conditionalFormatting sqref="CU19">
    <cfRule type="cellIs" dxfId="1013" priority="1323" operator="lessThan">
      <formula>74.98</formula>
    </cfRule>
  </conditionalFormatting>
  <conditionalFormatting sqref="CU19">
    <cfRule type="cellIs" dxfId="1012" priority="1321" operator="between">
      <formula>69.43</formula>
      <formula>80.55</formula>
    </cfRule>
    <cfRule type="cellIs" dxfId="1011" priority="1322" operator="greaterThan">
      <formula>80.55</formula>
    </cfRule>
  </conditionalFormatting>
  <conditionalFormatting sqref="CO5">
    <cfRule type="cellIs" dxfId="1010" priority="1320" operator="lessThan">
      <formula>74.98</formula>
    </cfRule>
  </conditionalFormatting>
  <conditionalFormatting sqref="CO5">
    <cfRule type="cellIs" dxfId="1009" priority="1318" operator="between">
      <formula>69.43</formula>
      <formula>80.55</formula>
    </cfRule>
    <cfRule type="cellIs" dxfId="1008" priority="1319" operator="greaterThan">
      <formula>80.55</formula>
    </cfRule>
  </conditionalFormatting>
  <conditionalFormatting sqref="CO7">
    <cfRule type="cellIs" dxfId="1007" priority="1317" operator="lessThan">
      <formula>74.98</formula>
    </cfRule>
  </conditionalFormatting>
  <conditionalFormatting sqref="CO7">
    <cfRule type="cellIs" dxfId="1006" priority="1315" operator="between">
      <formula>69.43</formula>
      <formula>80.55</formula>
    </cfRule>
    <cfRule type="cellIs" dxfId="1005" priority="1316" operator="greaterThan">
      <formula>80.55</formula>
    </cfRule>
  </conditionalFormatting>
  <conditionalFormatting sqref="CO13">
    <cfRule type="cellIs" dxfId="1004" priority="1314" operator="lessThan">
      <formula>74.98</formula>
    </cfRule>
  </conditionalFormatting>
  <conditionalFormatting sqref="CO13">
    <cfRule type="cellIs" dxfId="1003" priority="1312" operator="between">
      <formula>69.43</formula>
      <formula>80.55</formula>
    </cfRule>
    <cfRule type="cellIs" dxfId="1002" priority="1313" operator="greaterThan">
      <formula>80.55</formula>
    </cfRule>
  </conditionalFormatting>
  <conditionalFormatting sqref="CO26">
    <cfRule type="cellIs" dxfId="1001" priority="1311" operator="lessThan">
      <formula>74.98</formula>
    </cfRule>
  </conditionalFormatting>
  <conditionalFormatting sqref="CO26">
    <cfRule type="cellIs" dxfId="1000" priority="1309" operator="between">
      <formula>69.43</formula>
      <formula>80.55</formula>
    </cfRule>
    <cfRule type="cellIs" dxfId="999" priority="1310" operator="greaterThan">
      <formula>80.55</formula>
    </cfRule>
  </conditionalFormatting>
  <conditionalFormatting sqref="CO27">
    <cfRule type="cellIs" dxfId="998" priority="1308" operator="lessThan">
      <formula>74.98</formula>
    </cfRule>
  </conditionalFormatting>
  <conditionalFormatting sqref="CO27">
    <cfRule type="cellIs" dxfId="997" priority="1306" operator="between">
      <formula>69.43</formula>
      <formula>80.55</formula>
    </cfRule>
    <cfRule type="cellIs" dxfId="996" priority="1307" operator="greaterThan">
      <formula>80.55</formula>
    </cfRule>
  </conditionalFormatting>
  <conditionalFormatting sqref="CO28">
    <cfRule type="cellIs" dxfId="995" priority="1305" operator="lessThan">
      <formula>74.98</formula>
    </cfRule>
  </conditionalFormatting>
  <conditionalFormatting sqref="CO28">
    <cfRule type="cellIs" dxfId="994" priority="1303" operator="between">
      <formula>69.43</formula>
      <formula>80.55</formula>
    </cfRule>
    <cfRule type="cellIs" dxfId="993" priority="1304" operator="greaterThan">
      <formula>80.55</formula>
    </cfRule>
  </conditionalFormatting>
  <conditionalFormatting sqref="CU16 CS16 CQ16">
    <cfRule type="cellIs" dxfId="992" priority="1302" operator="lessThan">
      <formula>74.98</formula>
    </cfRule>
  </conditionalFormatting>
  <conditionalFormatting sqref="CU16 CS16 CQ16">
    <cfRule type="cellIs" dxfId="991" priority="1300" operator="between">
      <formula>69.43</formula>
      <formula>80.55</formula>
    </cfRule>
    <cfRule type="cellIs" dxfId="990" priority="1301" operator="greaterThan">
      <formula>80.55</formula>
    </cfRule>
  </conditionalFormatting>
  <conditionalFormatting sqref="CO16">
    <cfRule type="cellIs" dxfId="989" priority="1299" operator="lessThan">
      <formula>74.98</formula>
    </cfRule>
  </conditionalFormatting>
  <conditionalFormatting sqref="CO16">
    <cfRule type="cellIs" dxfId="988" priority="1297" operator="between">
      <formula>69.43</formula>
      <formula>80.55</formula>
    </cfRule>
    <cfRule type="cellIs" dxfId="987" priority="1298" operator="greaterThan">
      <formula>80.55</formula>
    </cfRule>
  </conditionalFormatting>
  <conditionalFormatting sqref="CO18">
    <cfRule type="cellIs" dxfId="986" priority="1296" operator="lessThan">
      <formula>74.98</formula>
    </cfRule>
  </conditionalFormatting>
  <conditionalFormatting sqref="CO18">
    <cfRule type="cellIs" dxfId="985" priority="1294" operator="between">
      <formula>69.43</formula>
      <formula>80.55</formula>
    </cfRule>
    <cfRule type="cellIs" dxfId="984" priority="1295" operator="greaterThan">
      <formula>80.55</formula>
    </cfRule>
  </conditionalFormatting>
  <conditionalFormatting sqref="CQ24">
    <cfRule type="cellIs" dxfId="983" priority="1293" operator="lessThan">
      <formula>74.98</formula>
    </cfRule>
  </conditionalFormatting>
  <conditionalFormatting sqref="CQ24">
    <cfRule type="cellIs" dxfId="982" priority="1291" operator="between">
      <formula>69.43</formula>
      <formula>80.55</formula>
    </cfRule>
    <cfRule type="cellIs" dxfId="981" priority="1292" operator="greaterThan">
      <formula>80.55</formula>
    </cfRule>
  </conditionalFormatting>
  <conditionalFormatting sqref="CS24 CU24">
    <cfRule type="cellIs" dxfId="980" priority="1290" operator="lessThan">
      <formula>74.98</formula>
    </cfRule>
  </conditionalFormatting>
  <conditionalFormatting sqref="CS24 CU24">
    <cfRule type="cellIs" dxfId="979" priority="1288" operator="between">
      <formula>69.43</formula>
      <formula>80.55</formula>
    </cfRule>
    <cfRule type="cellIs" dxfId="978" priority="1289" operator="greaterThan">
      <formula>80.55</formula>
    </cfRule>
  </conditionalFormatting>
  <conditionalFormatting sqref="CO24">
    <cfRule type="cellIs" dxfId="977" priority="1287" operator="lessThan">
      <formula>74.98</formula>
    </cfRule>
  </conditionalFormatting>
  <conditionalFormatting sqref="CO24">
    <cfRule type="cellIs" dxfId="976" priority="1285" operator="between">
      <formula>69.43</formula>
      <formula>80.55</formula>
    </cfRule>
    <cfRule type="cellIs" dxfId="975" priority="1286" operator="greaterThan">
      <formula>80.55</formula>
    </cfRule>
  </conditionalFormatting>
  <conditionalFormatting sqref="CQ18">
    <cfRule type="cellIs" dxfId="974" priority="1284" operator="lessThan">
      <formula>74.98</formula>
    </cfRule>
  </conditionalFormatting>
  <conditionalFormatting sqref="CQ18">
    <cfRule type="cellIs" dxfId="973" priority="1282" operator="between">
      <formula>69.43</formula>
      <formula>80.55</formula>
    </cfRule>
    <cfRule type="cellIs" dxfId="972" priority="1283" operator="greaterThan">
      <formula>80.55</formula>
    </cfRule>
  </conditionalFormatting>
  <conditionalFormatting sqref="CS10">
    <cfRule type="cellIs" dxfId="971" priority="1281" operator="lessThan">
      <formula>74.98</formula>
    </cfRule>
  </conditionalFormatting>
  <conditionalFormatting sqref="CS10">
    <cfRule type="cellIs" dxfId="970" priority="1279" operator="between">
      <formula>69.43</formula>
      <formula>80.55</formula>
    </cfRule>
    <cfRule type="cellIs" dxfId="969" priority="1280" operator="greaterThan">
      <formula>80.55</formula>
    </cfRule>
  </conditionalFormatting>
  <conditionalFormatting sqref="CS18">
    <cfRule type="cellIs" dxfId="968" priority="1278" operator="lessThan">
      <formula>74.98</formula>
    </cfRule>
  </conditionalFormatting>
  <conditionalFormatting sqref="CS18">
    <cfRule type="cellIs" dxfId="967" priority="1276" operator="between">
      <formula>69.43</formula>
      <formula>80.55</formula>
    </cfRule>
    <cfRule type="cellIs" dxfId="966" priority="1277" operator="greaterThan">
      <formula>80.55</formula>
    </cfRule>
  </conditionalFormatting>
  <conditionalFormatting sqref="CU10">
    <cfRule type="cellIs" dxfId="965" priority="1275" operator="lessThan">
      <formula>74.98</formula>
    </cfRule>
  </conditionalFormatting>
  <conditionalFormatting sqref="CU10">
    <cfRule type="cellIs" dxfId="964" priority="1273" operator="between">
      <formula>69.43</formula>
      <formula>80.55</formula>
    </cfRule>
    <cfRule type="cellIs" dxfId="963" priority="1274" operator="greaterThan">
      <formula>80.55</formula>
    </cfRule>
  </conditionalFormatting>
  <conditionalFormatting sqref="CU18">
    <cfRule type="cellIs" dxfId="962" priority="1272" operator="lessThan">
      <formula>74.98</formula>
    </cfRule>
  </conditionalFormatting>
  <conditionalFormatting sqref="CU18">
    <cfRule type="cellIs" dxfId="961" priority="1270" operator="between">
      <formula>69.43</formula>
      <formula>80.55</formula>
    </cfRule>
    <cfRule type="cellIs" dxfId="960" priority="1271" operator="greaterThan">
      <formula>80.55</formula>
    </cfRule>
  </conditionalFormatting>
  <conditionalFormatting sqref="DB12 DD12">
    <cfRule type="cellIs" dxfId="959" priority="1269" operator="lessThan">
      <formula>74.98</formula>
    </cfRule>
  </conditionalFormatting>
  <conditionalFormatting sqref="DB12 DD12">
    <cfRule type="cellIs" dxfId="958" priority="1267" operator="between">
      <formula>69.43</formula>
      <formula>80.55</formula>
    </cfRule>
    <cfRule type="cellIs" dxfId="957" priority="1268" operator="greaterThan">
      <formula>80.55</formula>
    </cfRule>
  </conditionalFormatting>
  <conditionalFormatting sqref="CX2:CX3 CX15 CX10 DD17 DB17 CZ17 DD21 DB2:DB9 DD2:DD9">
    <cfRule type="cellIs" dxfId="956" priority="1266" operator="lessThan">
      <formula>74.98</formula>
    </cfRule>
  </conditionalFormatting>
  <conditionalFormatting sqref="CX2:CX3 CX15 CX10 DD17 DB17 CZ17 DD21 DB2:DB9 DD2:DD9">
    <cfRule type="cellIs" dxfId="955" priority="1264" operator="between">
      <formula>69.43</formula>
      <formula>80.55</formula>
    </cfRule>
    <cfRule type="cellIs" dxfId="954" priority="1265" operator="greaterThan">
      <formula>80.55</formula>
    </cfRule>
  </conditionalFormatting>
  <conditionalFormatting sqref="CX15 CX17">
    <cfRule type="cellIs" dxfId="953" priority="1263" operator="lessThan">
      <formula>74.98</formula>
    </cfRule>
  </conditionalFormatting>
  <conditionalFormatting sqref="CX15 CX17">
    <cfRule type="cellIs" dxfId="952" priority="1261" operator="between">
      <formula>69.43</formula>
      <formula>80.55</formula>
    </cfRule>
    <cfRule type="cellIs" dxfId="951" priority="1262" operator="greaterThan">
      <formula>80.55</formula>
    </cfRule>
  </conditionalFormatting>
  <conditionalFormatting sqref="CZ23 DB23 DD23">
    <cfRule type="cellIs" dxfId="950" priority="1242" operator="lessThan">
      <formula>74.98</formula>
    </cfRule>
  </conditionalFormatting>
  <conditionalFormatting sqref="CZ23 DB23 DD23">
    <cfRule type="cellIs" dxfId="949" priority="1240" operator="between">
      <formula>69.43</formula>
      <formula>80.55</formula>
    </cfRule>
    <cfRule type="cellIs" dxfId="948" priority="1241" operator="greaterThan">
      <formula>80.55</formula>
    </cfRule>
  </conditionalFormatting>
  <conditionalFormatting sqref="CX14">
    <cfRule type="cellIs" dxfId="947" priority="1260" operator="lessThan">
      <formula>74.98</formula>
    </cfRule>
  </conditionalFormatting>
  <conditionalFormatting sqref="CX14">
    <cfRule type="cellIs" dxfId="946" priority="1258" operator="between">
      <formula>69.43</formula>
      <formula>80.55</formula>
    </cfRule>
    <cfRule type="cellIs" dxfId="945" priority="1259" operator="greaterThan">
      <formula>80.55</formula>
    </cfRule>
  </conditionalFormatting>
  <conditionalFormatting sqref="CX14">
    <cfRule type="cellIs" dxfId="944" priority="1257" operator="lessThan">
      <formula>74.98</formula>
    </cfRule>
  </conditionalFormatting>
  <conditionalFormatting sqref="CX14">
    <cfRule type="cellIs" dxfId="943" priority="1255" operator="between">
      <formula>69.43</formula>
      <formula>80.55</formula>
    </cfRule>
    <cfRule type="cellIs" dxfId="942" priority="1256" operator="greaterThan">
      <formula>80.55</formula>
    </cfRule>
  </conditionalFormatting>
  <conditionalFormatting sqref="CX9">
    <cfRule type="cellIs" dxfId="941" priority="1254" operator="lessThan">
      <formula>74.98</formula>
    </cfRule>
  </conditionalFormatting>
  <conditionalFormatting sqref="CX9">
    <cfRule type="cellIs" dxfId="940" priority="1252" operator="between">
      <formula>69.43</formula>
      <formula>80.55</formula>
    </cfRule>
    <cfRule type="cellIs" dxfId="939" priority="1253" operator="greaterThan">
      <formula>80.55</formula>
    </cfRule>
  </conditionalFormatting>
  <conditionalFormatting sqref="CX8">
    <cfRule type="cellIs" dxfId="938" priority="1248" operator="lessThan">
      <formula>74.98</formula>
    </cfRule>
  </conditionalFormatting>
  <conditionalFormatting sqref="CX8">
    <cfRule type="cellIs" dxfId="937" priority="1246" operator="between">
      <formula>69.43</formula>
      <formula>80.55</formula>
    </cfRule>
    <cfRule type="cellIs" dxfId="936" priority="1247" operator="greaterThan">
      <formula>80.55</formula>
    </cfRule>
  </conditionalFormatting>
  <conditionalFormatting sqref="CX12">
    <cfRule type="cellIs" dxfId="935" priority="1245" operator="lessThan">
      <formula>74.98</formula>
    </cfRule>
  </conditionalFormatting>
  <conditionalFormatting sqref="CX12">
    <cfRule type="cellIs" dxfId="934" priority="1243" operator="between">
      <formula>69.43</formula>
      <formula>80.55</formula>
    </cfRule>
    <cfRule type="cellIs" dxfId="933" priority="1244" operator="greaterThan">
      <formula>80.55</formula>
    </cfRule>
  </conditionalFormatting>
  <conditionalFormatting sqref="DB25:DB28 DD25:DD28">
    <cfRule type="cellIs" dxfId="932" priority="1239" operator="lessThan">
      <formula>74.98</formula>
    </cfRule>
  </conditionalFormatting>
  <conditionalFormatting sqref="DB25:DB28 DD25:DD28">
    <cfRule type="cellIs" dxfId="931" priority="1237" operator="between">
      <formula>69.43</formula>
      <formula>80.55</formula>
    </cfRule>
    <cfRule type="cellIs" dxfId="930" priority="1238" operator="greaterThan">
      <formula>80.55</formula>
    </cfRule>
  </conditionalFormatting>
  <conditionalFormatting sqref="CX4">
    <cfRule type="cellIs" dxfId="929" priority="1236" operator="lessThan">
      <formula>74.98</formula>
    </cfRule>
  </conditionalFormatting>
  <conditionalFormatting sqref="CX4">
    <cfRule type="cellIs" dxfId="928" priority="1234" operator="between">
      <formula>69.43</formula>
      <formula>80.55</formula>
    </cfRule>
    <cfRule type="cellIs" dxfId="927" priority="1235" operator="greaterThan">
      <formula>80.55</formula>
    </cfRule>
  </conditionalFormatting>
  <conditionalFormatting sqref="CX11">
    <cfRule type="cellIs" dxfId="926" priority="1233" operator="lessThan">
      <formula>74.98</formula>
    </cfRule>
  </conditionalFormatting>
  <conditionalFormatting sqref="CX11">
    <cfRule type="cellIs" dxfId="925" priority="1231" operator="between">
      <formula>69.43</formula>
      <formula>80.55</formula>
    </cfRule>
    <cfRule type="cellIs" dxfId="924" priority="1232" operator="greaterThan">
      <formula>80.55</formula>
    </cfRule>
  </conditionalFormatting>
  <conditionalFormatting sqref="CX20">
    <cfRule type="cellIs" dxfId="923" priority="1230" operator="lessThan">
      <formula>74.98</formula>
    </cfRule>
  </conditionalFormatting>
  <conditionalFormatting sqref="CX20">
    <cfRule type="cellIs" dxfId="922" priority="1228" operator="between">
      <formula>69.43</formula>
      <formula>80.55</formula>
    </cfRule>
    <cfRule type="cellIs" dxfId="921" priority="1229" operator="greaterThan">
      <formula>80.55</formula>
    </cfRule>
  </conditionalFormatting>
  <conditionalFormatting sqref="CZ20">
    <cfRule type="cellIs" dxfId="920" priority="1227" operator="lessThan">
      <formula>74.98</formula>
    </cfRule>
  </conditionalFormatting>
  <conditionalFormatting sqref="CZ20">
    <cfRule type="cellIs" dxfId="919" priority="1225" operator="between">
      <formula>69.43</formula>
      <formula>80.55</formula>
    </cfRule>
    <cfRule type="cellIs" dxfId="918" priority="1226" operator="greaterThan">
      <formula>80.55</formula>
    </cfRule>
  </conditionalFormatting>
  <conditionalFormatting sqref="CZ22">
    <cfRule type="cellIs" dxfId="917" priority="1224" operator="lessThan">
      <formula>74.98</formula>
    </cfRule>
  </conditionalFormatting>
  <conditionalFormatting sqref="CZ22">
    <cfRule type="cellIs" dxfId="916" priority="1222" operator="between">
      <formula>69.43</formula>
      <formula>80.55</formula>
    </cfRule>
    <cfRule type="cellIs" dxfId="915" priority="1223" operator="greaterThan">
      <formula>80.55</formula>
    </cfRule>
  </conditionalFormatting>
  <conditionalFormatting sqref="DD11 DB11">
    <cfRule type="cellIs" dxfId="914" priority="1221" operator="lessThan">
      <formula>74.98</formula>
    </cfRule>
  </conditionalFormatting>
  <conditionalFormatting sqref="DD11 DB11">
    <cfRule type="cellIs" dxfId="913" priority="1219" operator="between">
      <formula>69.43</formula>
      <formula>80.55</formula>
    </cfRule>
    <cfRule type="cellIs" dxfId="912" priority="1220" operator="greaterThan">
      <formula>80.55</formula>
    </cfRule>
  </conditionalFormatting>
  <conditionalFormatting sqref="DD20 DB20">
    <cfRule type="cellIs" dxfId="911" priority="1218" operator="lessThan">
      <formula>74.98</formula>
    </cfRule>
  </conditionalFormatting>
  <conditionalFormatting sqref="DD20 DB20">
    <cfRule type="cellIs" dxfId="910" priority="1216" operator="between">
      <formula>69.43</formula>
      <formula>80.55</formula>
    </cfRule>
    <cfRule type="cellIs" dxfId="909" priority="1217" operator="greaterThan">
      <formula>80.55</formula>
    </cfRule>
  </conditionalFormatting>
  <conditionalFormatting sqref="DD22 DB22">
    <cfRule type="cellIs" dxfId="908" priority="1215" operator="lessThan">
      <formula>74.98</formula>
    </cfRule>
  </conditionalFormatting>
  <conditionalFormatting sqref="DD22 DB22">
    <cfRule type="cellIs" dxfId="907" priority="1213" operator="between">
      <formula>69.43</formula>
      <formula>80.55</formula>
    </cfRule>
    <cfRule type="cellIs" dxfId="906" priority="1214" operator="greaterThan">
      <formula>80.55</formula>
    </cfRule>
  </conditionalFormatting>
  <conditionalFormatting sqref="CX6">
    <cfRule type="cellIs" dxfId="905" priority="1212" operator="lessThan">
      <formula>74.98</formula>
    </cfRule>
  </conditionalFormatting>
  <conditionalFormatting sqref="CX6">
    <cfRule type="cellIs" dxfId="904" priority="1210" operator="between">
      <formula>69.43</formula>
      <formula>80.55</formula>
    </cfRule>
    <cfRule type="cellIs" dxfId="903" priority="1211" operator="greaterThan">
      <formula>80.55</formula>
    </cfRule>
  </conditionalFormatting>
  <conditionalFormatting sqref="CX21">
    <cfRule type="cellIs" dxfId="902" priority="1206" operator="lessThan">
      <formula>74.98</formula>
    </cfRule>
  </conditionalFormatting>
  <conditionalFormatting sqref="CX21">
    <cfRule type="cellIs" dxfId="901" priority="1204" operator="between">
      <formula>69.43</formula>
      <formula>80.55</formula>
    </cfRule>
    <cfRule type="cellIs" dxfId="900" priority="1205" operator="greaterThan">
      <formula>80.55</formula>
    </cfRule>
  </conditionalFormatting>
  <conditionalFormatting sqref="CX22">
    <cfRule type="cellIs" dxfId="899" priority="1203" operator="lessThan">
      <formula>74.98</formula>
    </cfRule>
  </conditionalFormatting>
  <conditionalFormatting sqref="CX22">
    <cfRule type="cellIs" dxfId="898" priority="1201" operator="between">
      <formula>69.43</formula>
      <formula>80.55</formula>
    </cfRule>
    <cfRule type="cellIs" dxfId="897" priority="1202" operator="greaterThan">
      <formula>80.55</formula>
    </cfRule>
  </conditionalFormatting>
  <conditionalFormatting sqref="CX23">
    <cfRule type="cellIs" dxfId="896" priority="1200" operator="lessThan">
      <formula>74.98</formula>
    </cfRule>
  </conditionalFormatting>
  <conditionalFormatting sqref="CX23">
    <cfRule type="cellIs" dxfId="895" priority="1198" operator="between">
      <formula>69.43</formula>
      <formula>80.55</formula>
    </cfRule>
    <cfRule type="cellIs" dxfId="894" priority="1199" operator="greaterThan">
      <formula>80.55</formula>
    </cfRule>
  </conditionalFormatting>
  <conditionalFormatting sqref="CX25">
    <cfRule type="cellIs" dxfId="893" priority="1197" operator="lessThan">
      <formula>74.98</formula>
    </cfRule>
  </conditionalFormatting>
  <conditionalFormatting sqref="CX25">
    <cfRule type="cellIs" dxfId="892" priority="1195" operator="between">
      <formula>69.43</formula>
      <formula>80.55</formula>
    </cfRule>
    <cfRule type="cellIs" dxfId="891" priority="1196" operator="greaterThan">
      <formula>80.55</formula>
    </cfRule>
  </conditionalFormatting>
  <conditionalFormatting sqref="CZ21">
    <cfRule type="cellIs" dxfId="890" priority="1191" operator="lessThan">
      <formula>74.98</formula>
    </cfRule>
  </conditionalFormatting>
  <conditionalFormatting sqref="CZ21">
    <cfRule type="cellIs" dxfId="889" priority="1189" operator="between">
      <formula>69.43</formula>
      <formula>80.55</formula>
    </cfRule>
    <cfRule type="cellIs" dxfId="888" priority="1190" operator="greaterThan">
      <formula>80.55</formula>
    </cfRule>
  </conditionalFormatting>
  <conditionalFormatting sqref="CZ25:CZ28">
    <cfRule type="cellIs" dxfId="887" priority="1188" operator="lessThan">
      <formula>74.98</formula>
    </cfRule>
  </conditionalFormatting>
  <conditionalFormatting sqref="CZ25:CZ28">
    <cfRule type="cellIs" dxfId="886" priority="1186" operator="between">
      <formula>69.43</formula>
      <formula>80.55</formula>
    </cfRule>
    <cfRule type="cellIs" dxfId="885" priority="1187" operator="greaterThan">
      <formula>80.55</formula>
    </cfRule>
  </conditionalFormatting>
  <conditionalFormatting sqref="DB13">
    <cfRule type="cellIs" dxfId="884" priority="1185" operator="lessThan">
      <formula>74.98</formula>
    </cfRule>
  </conditionalFormatting>
  <conditionalFormatting sqref="DB13">
    <cfRule type="cellIs" dxfId="883" priority="1183" operator="between">
      <formula>69.43</formula>
      <formula>80.55</formula>
    </cfRule>
    <cfRule type="cellIs" dxfId="882" priority="1184" operator="greaterThan">
      <formula>80.55</formula>
    </cfRule>
  </conditionalFormatting>
  <conditionalFormatting sqref="DB21">
    <cfRule type="cellIs" dxfId="881" priority="1179" operator="lessThan">
      <formula>74.98</formula>
    </cfRule>
  </conditionalFormatting>
  <conditionalFormatting sqref="DB21">
    <cfRule type="cellIs" dxfId="880" priority="1177" operator="between">
      <formula>69.43</formula>
      <formula>80.55</formula>
    </cfRule>
    <cfRule type="cellIs" dxfId="879" priority="1178" operator="greaterThan">
      <formula>80.55</formula>
    </cfRule>
  </conditionalFormatting>
  <conditionalFormatting sqref="DD13">
    <cfRule type="cellIs" dxfId="878" priority="1176" operator="lessThan">
      <formula>74.98</formula>
    </cfRule>
  </conditionalFormatting>
  <conditionalFormatting sqref="DD13">
    <cfRule type="cellIs" dxfId="877" priority="1174" operator="between">
      <formula>69.43</formula>
      <formula>80.55</formula>
    </cfRule>
    <cfRule type="cellIs" dxfId="876" priority="1175" operator="greaterThan">
      <formula>80.55</formula>
    </cfRule>
  </conditionalFormatting>
  <conditionalFormatting sqref="DD19">
    <cfRule type="cellIs" dxfId="875" priority="1173" operator="lessThan">
      <formula>74.98</formula>
    </cfRule>
  </conditionalFormatting>
  <conditionalFormatting sqref="DD19">
    <cfRule type="cellIs" dxfId="874" priority="1171" operator="between">
      <formula>69.43</formula>
      <formula>80.55</formula>
    </cfRule>
    <cfRule type="cellIs" dxfId="873" priority="1172" operator="greaterThan">
      <formula>80.55</formula>
    </cfRule>
  </conditionalFormatting>
  <conditionalFormatting sqref="CX5">
    <cfRule type="cellIs" dxfId="872" priority="1170" operator="lessThan">
      <formula>74.98</formula>
    </cfRule>
  </conditionalFormatting>
  <conditionalFormatting sqref="CX5">
    <cfRule type="cellIs" dxfId="871" priority="1168" operator="between">
      <formula>69.43</formula>
      <formula>80.55</formula>
    </cfRule>
    <cfRule type="cellIs" dxfId="870" priority="1169" operator="greaterThan">
      <formula>80.55</formula>
    </cfRule>
  </conditionalFormatting>
  <conditionalFormatting sqref="CX7">
    <cfRule type="cellIs" dxfId="869" priority="1167" operator="lessThan">
      <formula>74.98</formula>
    </cfRule>
  </conditionalFormatting>
  <conditionalFormatting sqref="CX7">
    <cfRule type="cellIs" dxfId="868" priority="1165" operator="between">
      <formula>69.43</formula>
      <formula>80.55</formula>
    </cfRule>
    <cfRule type="cellIs" dxfId="867" priority="1166" operator="greaterThan">
      <formula>80.55</formula>
    </cfRule>
  </conditionalFormatting>
  <conditionalFormatting sqref="CX13">
    <cfRule type="cellIs" dxfId="866" priority="1164" operator="lessThan">
      <formula>74.98</formula>
    </cfRule>
  </conditionalFormatting>
  <conditionalFormatting sqref="CX13">
    <cfRule type="cellIs" dxfId="865" priority="1162" operator="between">
      <formula>69.43</formula>
      <formula>80.55</formula>
    </cfRule>
    <cfRule type="cellIs" dxfId="864" priority="1163" operator="greaterThan">
      <formula>80.55</formula>
    </cfRule>
  </conditionalFormatting>
  <conditionalFormatting sqref="CX26">
    <cfRule type="cellIs" dxfId="863" priority="1161" operator="lessThan">
      <formula>74.98</formula>
    </cfRule>
  </conditionalFormatting>
  <conditionalFormatting sqref="CX26">
    <cfRule type="cellIs" dxfId="862" priority="1159" operator="between">
      <formula>69.43</formula>
      <formula>80.55</formula>
    </cfRule>
    <cfRule type="cellIs" dxfId="861" priority="1160" operator="greaterThan">
      <formula>80.55</formula>
    </cfRule>
  </conditionalFormatting>
  <conditionalFormatting sqref="CX27">
    <cfRule type="cellIs" dxfId="860" priority="1158" operator="lessThan">
      <formula>74.98</formula>
    </cfRule>
  </conditionalFormatting>
  <conditionalFormatting sqref="CX27">
    <cfRule type="cellIs" dxfId="859" priority="1156" operator="between">
      <formula>69.43</formula>
      <formula>80.55</formula>
    </cfRule>
    <cfRule type="cellIs" dxfId="858" priority="1157" operator="greaterThan">
      <formula>80.55</formula>
    </cfRule>
  </conditionalFormatting>
  <conditionalFormatting sqref="CX28">
    <cfRule type="cellIs" dxfId="857" priority="1155" operator="lessThan">
      <formula>74.98</formula>
    </cfRule>
  </conditionalFormatting>
  <conditionalFormatting sqref="CX28">
    <cfRule type="cellIs" dxfId="856" priority="1153" operator="between">
      <formula>69.43</formula>
      <formula>80.55</formula>
    </cfRule>
    <cfRule type="cellIs" dxfId="855" priority="1154" operator="greaterThan">
      <formula>80.55</formula>
    </cfRule>
  </conditionalFormatting>
  <conditionalFormatting sqref="DD16 DB16 CZ16">
    <cfRule type="cellIs" dxfId="854" priority="1152" operator="lessThan">
      <formula>74.98</formula>
    </cfRule>
  </conditionalFormatting>
  <conditionalFormatting sqref="DD16 DB16 CZ16">
    <cfRule type="cellIs" dxfId="853" priority="1150" operator="between">
      <formula>69.43</formula>
      <formula>80.55</formula>
    </cfRule>
    <cfRule type="cellIs" dxfId="852" priority="1151" operator="greaterThan">
      <formula>80.55</formula>
    </cfRule>
  </conditionalFormatting>
  <conditionalFormatting sqref="CX16">
    <cfRule type="cellIs" dxfId="851" priority="1149" operator="lessThan">
      <formula>74.98</formula>
    </cfRule>
  </conditionalFormatting>
  <conditionalFormatting sqref="CX16">
    <cfRule type="cellIs" dxfId="850" priority="1147" operator="between">
      <formula>69.43</formula>
      <formula>80.55</formula>
    </cfRule>
    <cfRule type="cellIs" dxfId="849" priority="1148" operator="greaterThan">
      <formula>80.55</formula>
    </cfRule>
  </conditionalFormatting>
  <conditionalFormatting sqref="CX18">
    <cfRule type="cellIs" dxfId="848" priority="1146" operator="lessThan">
      <formula>74.98</formula>
    </cfRule>
  </conditionalFormatting>
  <conditionalFormatting sqref="CX18">
    <cfRule type="cellIs" dxfId="847" priority="1144" operator="between">
      <formula>69.43</formula>
      <formula>80.55</formula>
    </cfRule>
    <cfRule type="cellIs" dxfId="846" priority="1145" operator="greaterThan">
      <formula>80.55</formula>
    </cfRule>
  </conditionalFormatting>
  <conditionalFormatting sqref="CZ24">
    <cfRule type="cellIs" dxfId="845" priority="1143" operator="lessThan">
      <formula>74.98</formula>
    </cfRule>
  </conditionalFormatting>
  <conditionalFormatting sqref="CZ24">
    <cfRule type="cellIs" dxfId="844" priority="1141" operator="between">
      <formula>69.43</formula>
      <formula>80.55</formula>
    </cfRule>
    <cfRule type="cellIs" dxfId="843" priority="1142" operator="greaterThan">
      <formula>80.55</formula>
    </cfRule>
  </conditionalFormatting>
  <conditionalFormatting sqref="DB24 DD24">
    <cfRule type="cellIs" dxfId="842" priority="1140" operator="lessThan">
      <formula>74.98</formula>
    </cfRule>
  </conditionalFormatting>
  <conditionalFormatting sqref="DB24 DD24">
    <cfRule type="cellIs" dxfId="841" priority="1138" operator="between">
      <formula>69.43</formula>
      <formula>80.55</formula>
    </cfRule>
    <cfRule type="cellIs" dxfId="840" priority="1139" operator="greaterThan">
      <formula>80.55</formula>
    </cfRule>
  </conditionalFormatting>
  <conditionalFormatting sqref="CX24">
    <cfRule type="cellIs" dxfId="839" priority="1137" operator="lessThan">
      <formula>74.98</formula>
    </cfRule>
  </conditionalFormatting>
  <conditionalFormatting sqref="CX24">
    <cfRule type="cellIs" dxfId="838" priority="1135" operator="between">
      <formula>69.43</formula>
      <formula>80.55</formula>
    </cfRule>
    <cfRule type="cellIs" dxfId="837" priority="1136" operator="greaterThan">
      <formula>80.55</formula>
    </cfRule>
  </conditionalFormatting>
  <conditionalFormatting sqref="CZ18">
    <cfRule type="cellIs" dxfId="836" priority="1134" operator="lessThan">
      <formula>74.98</formula>
    </cfRule>
  </conditionalFormatting>
  <conditionalFormatting sqref="CZ18">
    <cfRule type="cellIs" dxfId="835" priority="1132" operator="between">
      <formula>69.43</formula>
      <formula>80.55</formula>
    </cfRule>
    <cfRule type="cellIs" dxfId="834" priority="1133" operator="greaterThan">
      <formula>80.55</formula>
    </cfRule>
  </conditionalFormatting>
  <conditionalFormatting sqref="DB10">
    <cfRule type="cellIs" dxfId="833" priority="1131" operator="lessThan">
      <formula>74.98</formula>
    </cfRule>
  </conditionalFormatting>
  <conditionalFormatting sqref="DB10">
    <cfRule type="cellIs" dxfId="832" priority="1129" operator="between">
      <formula>69.43</formula>
      <formula>80.55</formula>
    </cfRule>
    <cfRule type="cellIs" dxfId="831" priority="1130" operator="greaterThan">
      <formula>80.55</formula>
    </cfRule>
  </conditionalFormatting>
  <conditionalFormatting sqref="DB18">
    <cfRule type="cellIs" dxfId="830" priority="1128" operator="lessThan">
      <formula>74.98</formula>
    </cfRule>
  </conditionalFormatting>
  <conditionalFormatting sqref="DB18">
    <cfRule type="cellIs" dxfId="829" priority="1126" operator="between">
      <formula>69.43</formula>
      <formula>80.55</formula>
    </cfRule>
    <cfRule type="cellIs" dxfId="828" priority="1127" operator="greaterThan">
      <formula>80.55</formula>
    </cfRule>
  </conditionalFormatting>
  <conditionalFormatting sqref="DD10">
    <cfRule type="cellIs" dxfId="827" priority="1125" operator="lessThan">
      <formula>74.98</formula>
    </cfRule>
  </conditionalFormatting>
  <conditionalFormatting sqref="DD10">
    <cfRule type="cellIs" dxfId="826" priority="1123" operator="between">
      <formula>69.43</formula>
      <formula>80.55</formula>
    </cfRule>
    <cfRule type="cellIs" dxfId="825" priority="1124" operator="greaterThan">
      <formula>80.55</formula>
    </cfRule>
  </conditionalFormatting>
  <conditionalFormatting sqref="DD18">
    <cfRule type="cellIs" dxfId="824" priority="1122" operator="lessThan">
      <formula>74.98</formula>
    </cfRule>
  </conditionalFormatting>
  <conditionalFormatting sqref="DD18">
    <cfRule type="cellIs" dxfId="823" priority="1120" operator="between">
      <formula>69.43</formula>
      <formula>80.55</formula>
    </cfRule>
    <cfRule type="cellIs" dxfId="822" priority="1121" operator="greaterThan">
      <formula>80.55</formula>
    </cfRule>
  </conditionalFormatting>
  <conditionalFormatting sqref="CX19">
    <cfRule type="cellIs" dxfId="821" priority="1119" operator="lessThan">
      <formula>74.98</formula>
    </cfRule>
  </conditionalFormatting>
  <conditionalFormatting sqref="CX19">
    <cfRule type="cellIs" dxfId="820" priority="1117" operator="between">
      <formula>69.43</formula>
      <formula>80.55</formula>
    </cfRule>
    <cfRule type="cellIs" dxfId="819" priority="1118" operator="greaterThan">
      <formula>80.55</formula>
    </cfRule>
  </conditionalFormatting>
  <conditionalFormatting sqref="CZ19">
    <cfRule type="cellIs" dxfId="818" priority="1116" operator="lessThan">
      <formula>74.98</formula>
    </cfRule>
  </conditionalFormatting>
  <conditionalFormatting sqref="CZ19">
    <cfRule type="cellIs" dxfId="817" priority="1114" operator="between">
      <formula>69.43</formula>
      <formula>80.55</formula>
    </cfRule>
    <cfRule type="cellIs" dxfId="816" priority="1115" operator="greaterThan">
      <formula>80.55</formula>
    </cfRule>
  </conditionalFormatting>
  <conditionalFormatting sqref="DB19">
    <cfRule type="cellIs" dxfId="815" priority="1113" operator="lessThan">
      <formula>74.98</formula>
    </cfRule>
  </conditionalFormatting>
  <conditionalFormatting sqref="DB19">
    <cfRule type="cellIs" dxfId="814" priority="1111" operator="between">
      <formula>69.43</formula>
      <formula>80.55</formula>
    </cfRule>
    <cfRule type="cellIs" dxfId="813" priority="1112" operator="greaterThan">
      <formula>80.55</formula>
    </cfRule>
  </conditionalFormatting>
  <conditionalFormatting sqref="DK12 DM12 DI3:DI5 DI7:DI8">
    <cfRule type="cellIs" dxfId="812" priority="1110" operator="lessThan">
      <formula>74.98</formula>
    </cfRule>
  </conditionalFormatting>
  <conditionalFormatting sqref="DK12 DM12 DI3:DI5 DI7:DI8">
    <cfRule type="cellIs" dxfId="811" priority="1108" operator="between">
      <formula>69.43</formula>
      <formula>80.55</formula>
    </cfRule>
    <cfRule type="cellIs" dxfId="810" priority="1109" operator="greaterThan">
      <formula>80.55</formula>
    </cfRule>
  </conditionalFormatting>
  <conditionalFormatting sqref="DG2:DG3 DM17 DK17 DI17 DM21 DK3:DK11 DM2:DM11">
    <cfRule type="cellIs" dxfId="809" priority="1107" operator="lessThan">
      <formula>74.98</formula>
    </cfRule>
  </conditionalFormatting>
  <conditionalFormatting sqref="DG2:DG3 DM17 DK17 DI17 DM21 DK3:DK11 DM2:DM11">
    <cfRule type="cellIs" dxfId="808" priority="1105" operator="between">
      <formula>69.43</formula>
      <formula>80.55</formula>
    </cfRule>
    <cfRule type="cellIs" dxfId="807" priority="1106" operator="greaterThan">
      <formula>80.55</formula>
    </cfRule>
  </conditionalFormatting>
  <conditionalFormatting sqref="DG17">
    <cfRule type="cellIs" dxfId="806" priority="1104" operator="lessThan">
      <formula>74.98</formula>
    </cfRule>
  </conditionalFormatting>
  <conditionalFormatting sqref="DG17">
    <cfRule type="cellIs" dxfId="805" priority="1102" operator="between">
      <formula>69.43</formula>
      <formula>80.55</formula>
    </cfRule>
    <cfRule type="cellIs" dxfId="804" priority="1103" operator="greaterThan">
      <formula>80.55</formula>
    </cfRule>
  </conditionalFormatting>
  <conditionalFormatting sqref="DI23 DK23">
    <cfRule type="cellIs" dxfId="803" priority="1083" operator="lessThan">
      <formula>74.98</formula>
    </cfRule>
  </conditionalFormatting>
  <conditionalFormatting sqref="DI23 DK23">
    <cfRule type="cellIs" dxfId="802" priority="1081" operator="between">
      <formula>69.43</formula>
      <formula>80.55</formula>
    </cfRule>
    <cfRule type="cellIs" dxfId="801" priority="1082" operator="greaterThan">
      <formula>80.55</formula>
    </cfRule>
  </conditionalFormatting>
  <conditionalFormatting sqref="DG14">
    <cfRule type="cellIs" dxfId="800" priority="1101" operator="lessThan">
      <formula>74.98</formula>
    </cfRule>
  </conditionalFormatting>
  <conditionalFormatting sqref="DG14">
    <cfRule type="cellIs" dxfId="799" priority="1099" operator="between">
      <formula>69.43</formula>
      <formula>80.55</formula>
    </cfRule>
    <cfRule type="cellIs" dxfId="798" priority="1100" operator="greaterThan">
      <formula>80.55</formula>
    </cfRule>
  </conditionalFormatting>
  <conditionalFormatting sqref="DG14">
    <cfRule type="cellIs" dxfId="797" priority="1098" operator="lessThan">
      <formula>74.98</formula>
    </cfRule>
  </conditionalFormatting>
  <conditionalFormatting sqref="DG14">
    <cfRule type="cellIs" dxfId="796" priority="1096" operator="between">
      <formula>69.43</formula>
      <formula>80.55</formula>
    </cfRule>
    <cfRule type="cellIs" dxfId="795" priority="1097" operator="greaterThan">
      <formula>80.55</formula>
    </cfRule>
  </conditionalFormatting>
  <conditionalFormatting sqref="DG8">
    <cfRule type="cellIs" dxfId="794" priority="1089" operator="lessThan">
      <formula>74.98</formula>
    </cfRule>
  </conditionalFormatting>
  <conditionalFormatting sqref="DG8">
    <cfRule type="cellIs" dxfId="793" priority="1087" operator="between">
      <formula>69.43</formula>
      <formula>80.55</formula>
    </cfRule>
    <cfRule type="cellIs" dxfId="792" priority="1088" operator="greaterThan">
      <formula>80.55</formula>
    </cfRule>
  </conditionalFormatting>
  <conditionalFormatting sqref="DG12">
    <cfRule type="cellIs" dxfId="791" priority="1086" operator="lessThan">
      <formula>74.98</formula>
    </cfRule>
  </conditionalFormatting>
  <conditionalFormatting sqref="DG12">
    <cfRule type="cellIs" dxfId="790" priority="1084" operator="between">
      <formula>69.43</formula>
      <formula>80.55</formula>
    </cfRule>
    <cfRule type="cellIs" dxfId="789" priority="1085" operator="greaterThan">
      <formula>80.55</formula>
    </cfRule>
  </conditionalFormatting>
  <conditionalFormatting sqref="DM25:DM28 DK25:DK28">
    <cfRule type="cellIs" dxfId="788" priority="1080" operator="lessThan">
      <formula>74.98</formula>
    </cfRule>
  </conditionalFormatting>
  <conditionalFormatting sqref="DM25:DM28 DK25:DK28">
    <cfRule type="cellIs" dxfId="787" priority="1078" operator="between">
      <formula>69.43</formula>
      <formula>80.55</formula>
    </cfRule>
    <cfRule type="cellIs" dxfId="786" priority="1079" operator="greaterThan">
      <formula>80.55</formula>
    </cfRule>
  </conditionalFormatting>
  <conditionalFormatting sqref="DG4">
    <cfRule type="cellIs" dxfId="785" priority="1077" operator="lessThan">
      <formula>74.98</formula>
    </cfRule>
  </conditionalFormatting>
  <conditionalFormatting sqref="DG4">
    <cfRule type="cellIs" dxfId="784" priority="1075" operator="between">
      <formula>69.43</formula>
      <formula>80.55</formula>
    </cfRule>
    <cfRule type="cellIs" dxfId="783" priority="1076" operator="greaterThan">
      <formula>80.55</formula>
    </cfRule>
  </conditionalFormatting>
  <conditionalFormatting sqref="DG20">
    <cfRule type="cellIs" dxfId="782" priority="1071" operator="lessThan">
      <formula>74.98</formula>
    </cfRule>
  </conditionalFormatting>
  <conditionalFormatting sqref="DG20">
    <cfRule type="cellIs" dxfId="781" priority="1069" operator="between">
      <formula>69.43</formula>
      <formula>80.55</formula>
    </cfRule>
    <cfRule type="cellIs" dxfId="780" priority="1070" operator="greaterThan">
      <formula>80.55</formula>
    </cfRule>
  </conditionalFormatting>
  <conditionalFormatting sqref="DI20">
    <cfRule type="cellIs" dxfId="779" priority="1068" operator="lessThan">
      <formula>74.98</formula>
    </cfRule>
  </conditionalFormatting>
  <conditionalFormatting sqref="DI20">
    <cfRule type="cellIs" dxfId="778" priority="1066" operator="between">
      <formula>69.43</formula>
      <formula>80.55</formula>
    </cfRule>
    <cfRule type="cellIs" dxfId="777" priority="1067" operator="greaterThan">
      <formula>80.55</formula>
    </cfRule>
  </conditionalFormatting>
  <conditionalFormatting sqref="DI22">
    <cfRule type="cellIs" dxfId="776" priority="1065" operator="lessThan">
      <formula>74.98</formula>
    </cfRule>
  </conditionalFormatting>
  <conditionalFormatting sqref="DI22">
    <cfRule type="cellIs" dxfId="775" priority="1063" operator="between">
      <formula>69.43</formula>
      <formula>80.55</formula>
    </cfRule>
    <cfRule type="cellIs" dxfId="774" priority="1064" operator="greaterThan">
      <formula>80.55</formula>
    </cfRule>
  </conditionalFormatting>
  <conditionalFormatting sqref="DM11 DK11">
    <cfRule type="cellIs" dxfId="773" priority="1062" operator="lessThan">
      <formula>74.98</formula>
    </cfRule>
  </conditionalFormatting>
  <conditionalFormatting sqref="DM11 DK11">
    <cfRule type="cellIs" dxfId="772" priority="1060" operator="between">
      <formula>69.43</formula>
      <formula>80.55</formula>
    </cfRule>
    <cfRule type="cellIs" dxfId="771" priority="1061" operator="greaterThan">
      <formula>80.55</formula>
    </cfRule>
  </conditionalFormatting>
  <conditionalFormatting sqref="DM20 DK20">
    <cfRule type="cellIs" dxfId="770" priority="1059" operator="lessThan">
      <formula>74.98</formula>
    </cfRule>
  </conditionalFormatting>
  <conditionalFormatting sqref="DM20 DK20">
    <cfRule type="cellIs" dxfId="769" priority="1057" operator="between">
      <formula>69.43</formula>
      <formula>80.55</formula>
    </cfRule>
    <cfRule type="cellIs" dxfId="768" priority="1058" operator="greaterThan">
      <formula>80.55</formula>
    </cfRule>
  </conditionalFormatting>
  <conditionalFormatting sqref="DM22 DK22">
    <cfRule type="cellIs" dxfId="767" priority="1056" operator="lessThan">
      <formula>74.98</formula>
    </cfRule>
  </conditionalFormatting>
  <conditionalFormatting sqref="DM22 DK22">
    <cfRule type="cellIs" dxfId="766" priority="1054" operator="between">
      <formula>69.43</formula>
      <formula>80.55</formula>
    </cfRule>
    <cfRule type="cellIs" dxfId="765" priority="1055" operator="greaterThan">
      <formula>80.55</formula>
    </cfRule>
  </conditionalFormatting>
  <conditionalFormatting sqref="DG21">
    <cfRule type="cellIs" dxfId="764" priority="1050" operator="lessThan">
      <formula>74.98</formula>
    </cfRule>
  </conditionalFormatting>
  <conditionalFormatting sqref="DG21">
    <cfRule type="cellIs" dxfId="763" priority="1048" operator="between">
      <formula>69.43</formula>
      <formula>80.55</formula>
    </cfRule>
    <cfRule type="cellIs" dxfId="762" priority="1049" operator="greaterThan">
      <formula>80.55</formula>
    </cfRule>
  </conditionalFormatting>
  <conditionalFormatting sqref="DG22">
    <cfRule type="cellIs" dxfId="761" priority="1047" operator="lessThan">
      <formula>74.98</formula>
    </cfRule>
  </conditionalFormatting>
  <conditionalFormatting sqref="DG22">
    <cfRule type="cellIs" dxfId="760" priority="1045" operator="between">
      <formula>69.43</formula>
      <formula>80.55</formula>
    </cfRule>
    <cfRule type="cellIs" dxfId="759" priority="1046" operator="greaterThan">
      <formula>80.55</formula>
    </cfRule>
  </conditionalFormatting>
  <conditionalFormatting sqref="DG23">
    <cfRule type="cellIs" dxfId="758" priority="1044" operator="lessThan">
      <formula>74.98</formula>
    </cfRule>
  </conditionalFormatting>
  <conditionalFormatting sqref="DG23">
    <cfRule type="cellIs" dxfId="757" priority="1042" operator="between">
      <formula>69.43</formula>
      <formula>80.55</formula>
    </cfRule>
    <cfRule type="cellIs" dxfId="756" priority="1043" operator="greaterThan">
      <formula>80.55</formula>
    </cfRule>
  </conditionalFormatting>
  <conditionalFormatting sqref="DG25">
    <cfRule type="cellIs" dxfId="755" priority="1041" operator="lessThan">
      <formula>74.98</formula>
    </cfRule>
  </conditionalFormatting>
  <conditionalFormatting sqref="DG25">
    <cfRule type="cellIs" dxfId="754" priority="1039" operator="between">
      <formula>69.43</formula>
      <formula>80.55</formula>
    </cfRule>
    <cfRule type="cellIs" dxfId="753" priority="1040" operator="greaterThan">
      <formula>80.55</formula>
    </cfRule>
  </conditionalFormatting>
  <conditionalFormatting sqref="DI21">
    <cfRule type="cellIs" dxfId="752" priority="1038" operator="lessThan">
      <formula>74.98</formula>
    </cfRule>
  </conditionalFormatting>
  <conditionalFormatting sqref="DI21">
    <cfRule type="cellIs" dxfId="751" priority="1036" operator="between">
      <formula>69.43</formula>
      <formula>80.55</formula>
    </cfRule>
    <cfRule type="cellIs" dxfId="750" priority="1037" operator="greaterThan">
      <formula>80.55</formula>
    </cfRule>
  </conditionalFormatting>
  <conditionalFormatting sqref="DI25:DI28">
    <cfRule type="cellIs" dxfId="749" priority="1035" operator="lessThan">
      <formula>74.98</formula>
    </cfRule>
  </conditionalFormatting>
  <conditionalFormatting sqref="DI25:DI28">
    <cfRule type="cellIs" dxfId="748" priority="1033" operator="between">
      <formula>69.43</formula>
      <formula>80.55</formula>
    </cfRule>
    <cfRule type="cellIs" dxfId="747" priority="1034" operator="greaterThan">
      <formula>80.55</formula>
    </cfRule>
  </conditionalFormatting>
  <conditionalFormatting sqref="DK13">
    <cfRule type="cellIs" dxfId="746" priority="1032" operator="lessThan">
      <formula>74.98</formula>
    </cfRule>
  </conditionalFormatting>
  <conditionalFormatting sqref="DK13">
    <cfRule type="cellIs" dxfId="745" priority="1030" operator="between">
      <formula>69.43</formula>
      <formula>80.55</formula>
    </cfRule>
    <cfRule type="cellIs" dxfId="744" priority="1031" operator="greaterThan">
      <formula>80.55</formula>
    </cfRule>
  </conditionalFormatting>
  <conditionalFormatting sqref="DK21">
    <cfRule type="cellIs" dxfId="743" priority="1029" operator="lessThan">
      <formula>74.98</formula>
    </cfRule>
  </conditionalFormatting>
  <conditionalFormatting sqref="DK21">
    <cfRule type="cellIs" dxfId="742" priority="1027" operator="between">
      <formula>69.43</formula>
      <formula>80.55</formula>
    </cfRule>
    <cfRule type="cellIs" dxfId="741" priority="1028" operator="greaterThan">
      <formula>80.55</formula>
    </cfRule>
  </conditionalFormatting>
  <conditionalFormatting sqref="DM13">
    <cfRule type="cellIs" dxfId="740" priority="1026" operator="lessThan">
      <formula>74.98</formula>
    </cfRule>
  </conditionalFormatting>
  <conditionalFormatting sqref="DM13">
    <cfRule type="cellIs" dxfId="739" priority="1024" operator="between">
      <formula>69.43</formula>
      <formula>80.55</formula>
    </cfRule>
    <cfRule type="cellIs" dxfId="738" priority="1025" operator="greaterThan">
      <formula>80.55</formula>
    </cfRule>
  </conditionalFormatting>
  <conditionalFormatting sqref="DM19">
    <cfRule type="cellIs" dxfId="737" priority="1023" operator="lessThan">
      <formula>74.98</formula>
    </cfRule>
  </conditionalFormatting>
  <conditionalFormatting sqref="DM19">
    <cfRule type="cellIs" dxfId="736" priority="1021" operator="between">
      <formula>69.43</formula>
      <formula>80.55</formula>
    </cfRule>
    <cfRule type="cellIs" dxfId="735" priority="1022" operator="greaterThan">
      <formula>80.55</formula>
    </cfRule>
  </conditionalFormatting>
  <conditionalFormatting sqref="DG5">
    <cfRule type="cellIs" dxfId="734" priority="1020" operator="lessThan">
      <formula>74.98</formula>
    </cfRule>
  </conditionalFormatting>
  <conditionalFormatting sqref="DG5">
    <cfRule type="cellIs" dxfId="733" priority="1018" operator="between">
      <formula>69.43</formula>
      <formula>80.55</formula>
    </cfRule>
    <cfRule type="cellIs" dxfId="732" priority="1019" operator="greaterThan">
      <formula>80.55</formula>
    </cfRule>
  </conditionalFormatting>
  <conditionalFormatting sqref="DG7">
    <cfRule type="cellIs" dxfId="731" priority="1017" operator="lessThan">
      <formula>74.98</formula>
    </cfRule>
  </conditionalFormatting>
  <conditionalFormatting sqref="DG7">
    <cfRule type="cellIs" dxfId="730" priority="1015" operator="between">
      <formula>69.43</formula>
      <formula>80.55</formula>
    </cfRule>
    <cfRule type="cellIs" dxfId="729" priority="1016" operator="greaterThan">
      <formula>80.55</formula>
    </cfRule>
  </conditionalFormatting>
  <conditionalFormatting sqref="DG13">
    <cfRule type="cellIs" dxfId="728" priority="1014" operator="lessThan">
      <formula>74.98</formula>
    </cfRule>
  </conditionalFormatting>
  <conditionalFormatting sqref="DG13">
    <cfRule type="cellIs" dxfId="727" priority="1012" operator="between">
      <formula>69.43</formula>
      <formula>80.55</formula>
    </cfRule>
    <cfRule type="cellIs" dxfId="726" priority="1013" operator="greaterThan">
      <formula>80.55</formula>
    </cfRule>
  </conditionalFormatting>
  <conditionalFormatting sqref="DG26">
    <cfRule type="cellIs" dxfId="725" priority="1011" operator="lessThan">
      <formula>74.98</formula>
    </cfRule>
  </conditionalFormatting>
  <conditionalFormatting sqref="DG26">
    <cfRule type="cellIs" dxfId="724" priority="1009" operator="between">
      <formula>69.43</formula>
      <formula>80.55</formula>
    </cfRule>
    <cfRule type="cellIs" dxfId="723" priority="1010" operator="greaterThan">
      <formula>80.55</formula>
    </cfRule>
  </conditionalFormatting>
  <conditionalFormatting sqref="DG27">
    <cfRule type="cellIs" dxfId="722" priority="1008" operator="lessThan">
      <formula>74.98</formula>
    </cfRule>
  </conditionalFormatting>
  <conditionalFormatting sqref="DG27">
    <cfRule type="cellIs" dxfId="721" priority="1006" operator="between">
      <formula>69.43</formula>
      <formula>80.55</formula>
    </cfRule>
    <cfRule type="cellIs" dxfId="720" priority="1007" operator="greaterThan">
      <formula>80.55</formula>
    </cfRule>
  </conditionalFormatting>
  <conditionalFormatting sqref="DG28">
    <cfRule type="cellIs" dxfId="719" priority="1005" operator="lessThan">
      <formula>74.98</formula>
    </cfRule>
  </conditionalFormatting>
  <conditionalFormatting sqref="DG28">
    <cfRule type="cellIs" dxfId="718" priority="1003" operator="between">
      <formula>69.43</formula>
      <formula>80.55</formula>
    </cfRule>
    <cfRule type="cellIs" dxfId="717" priority="1004" operator="greaterThan">
      <formula>80.55</formula>
    </cfRule>
  </conditionalFormatting>
  <conditionalFormatting sqref="DM16 DK16 DI16">
    <cfRule type="cellIs" dxfId="716" priority="1002" operator="lessThan">
      <formula>74.98</formula>
    </cfRule>
  </conditionalFormatting>
  <conditionalFormatting sqref="DM16 DK16 DI16">
    <cfRule type="cellIs" dxfId="715" priority="1000" operator="between">
      <formula>69.43</formula>
      <formula>80.55</formula>
    </cfRule>
    <cfRule type="cellIs" dxfId="714" priority="1001" operator="greaterThan">
      <formula>80.55</formula>
    </cfRule>
  </conditionalFormatting>
  <conditionalFormatting sqref="DG16">
    <cfRule type="cellIs" dxfId="713" priority="999" operator="lessThan">
      <formula>74.98</formula>
    </cfRule>
  </conditionalFormatting>
  <conditionalFormatting sqref="DG16">
    <cfRule type="cellIs" dxfId="712" priority="997" operator="between">
      <formula>69.43</formula>
      <formula>80.55</formula>
    </cfRule>
    <cfRule type="cellIs" dxfId="711" priority="998" operator="greaterThan">
      <formula>80.55</formula>
    </cfRule>
  </conditionalFormatting>
  <conditionalFormatting sqref="DG18">
    <cfRule type="cellIs" dxfId="710" priority="996" operator="lessThan">
      <formula>74.98</formula>
    </cfRule>
  </conditionalFormatting>
  <conditionalFormatting sqref="DG18">
    <cfRule type="cellIs" dxfId="709" priority="994" operator="between">
      <formula>69.43</formula>
      <formula>80.55</formula>
    </cfRule>
    <cfRule type="cellIs" dxfId="708" priority="995" operator="greaterThan">
      <formula>80.55</formula>
    </cfRule>
  </conditionalFormatting>
  <conditionalFormatting sqref="DI24">
    <cfRule type="cellIs" dxfId="707" priority="993" operator="lessThan">
      <formula>74.98</formula>
    </cfRule>
  </conditionalFormatting>
  <conditionalFormatting sqref="DI24">
    <cfRule type="cellIs" dxfId="706" priority="991" operator="between">
      <formula>69.43</formula>
      <formula>80.55</formula>
    </cfRule>
    <cfRule type="cellIs" dxfId="705" priority="992" operator="greaterThan">
      <formula>80.55</formula>
    </cfRule>
  </conditionalFormatting>
  <conditionalFormatting sqref="DK24 DM24">
    <cfRule type="cellIs" dxfId="704" priority="990" operator="lessThan">
      <formula>74.98</formula>
    </cfRule>
  </conditionalFormatting>
  <conditionalFormatting sqref="DK24 DM24">
    <cfRule type="cellIs" dxfId="703" priority="988" operator="between">
      <formula>69.43</formula>
      <formula>80.55</formula>
    </cfRule>
    <cfRule type="cellIs" dxfId="702" priority="989" operator="greaterThan">
      <formula>80.55</formula>
    </cfRule>
  </conditionalFormatting>
  <conditionalFormatting sqref="DG24">
    <cfRule type="cellIs" dxfId="701" priority="987" operator="lessThan">
      <formula>74.98</formula>
    </cfRule>
  </conditionalFormatting>
  <conditionalFormatting sqref="DG24">
    <cfRule type="cellIs" dxfId="700" priority="985" operator="between">
      <formula>69.43</formula>
      <formula>80.55</formula>
    </cfRule>
    <cfRule type="cellIs" dxfId="699" priority="986" operator="greaterThan">
      <formula>80.55</formula>
    </cfRule>
  </conditionalFormatting>
  <conditionalFormatting sqref="DI18">
    <cfRule type="cellIs" dxfId="698" priority="984" operator="lessThan">
      <formula>74.98</formula>
    </cfRule>
  </conditionalFormatting>
  <conditionalFormatting sqref="DI18">
    <cfRule type="cellIs" dxfId="697" priority="982" operator="between">
      <formula>69.43</formula>
      <formula>80.55</formula>
    </cfRule>
    <cfRule type="cellIs" dxfId="696" priority="983" operator="greaterThan">
      <formula>80.55</formula>
    </cfRule>
  </conditionalFormatting>
  <conditionalFormatting sqref="DK10">
    <cfRule type="cellIs" dxfId="695" priority="981" operator="lessThan">
      <formula>74.98</formula>
    </cfRule>
  </conditionalFormatting>
  <conditionalFormatting sqref="DK10">
    <cfRule type="cellIs" dxfId="694" priority="979" operator="between">
      <formula>69.43</formula>
      <formula>80.55</formula>
    </cfRule>
    <cfRule type="cellIs" dxfId="693" priority="980" operator="greaterThan">
      <formula>80.55</formula>
    </cfRule>
  </conditionalFormatting>
  <conditionalFormatting sqref="DK18">
    <cfRule type="cellIs" dxfId="692" priority="978" operator="lessThan">
      <formula>74.98</formula>
    </cfRule>
  </conditionalFormatting>
  <conditionalFormatting sqref="DK18">
    <cfRule type="cellIs" dxfId="691" priority="976" operator="between">
      <formula>69.43</formula>
      <formula>80.55</formula>
    </cfRule>
    <cfRule type="cellIs" dxfId="690" priority="977" operator="greaterThan">
      <formula>80.55</formula>
    </cfRule>
  </conditionalFormatting>
  <conditionalFormatting sqref="DM10">
    <cfRule type="cellIs" dxfId="689" priority="975" operator="lessThan">
      <formula>74.98</formula>
    </cfRule>
  </conditionalFormatting>
  <conditionalFormatting sqref="DM10">
    <cfRule type="cellIs" dxfId="688" priority="973" operator="between">
      <formula>69.43</formula>
      <formula>80.55</formula>
    </cfRule>
    <cfRule type="cellIs" dxfId="687" priority="974" operator="greaterThan">
      <formula>80.55</formula>
    </cfRule>
  </conditionalFormatting>
  <conditionalFormatting sqref="DM18">
    <cfRule type="cellIs" dxfId="686" priority="972" operator="lessThan">
      <formula>74.98</formula>
    </cfRule>
  </conditionalFormatting>
  <conditionalFormatting sqref="DM18">
    <cfRule type="cellIs" dxfId="685" priority="970" operator="between">
      <formula>69.43</formula>
      <formula>80.55</formula>
    </cfRule>
    <cfRule type="cellIs" dxfId="684" priority="971" operator="greaterThan">
      <formula>80.55</formula>
    </cfRule>
  </conditionalFormatting>
  <conditionalFormatting sqref="DG19">
    <cfRule type="cellIs" dxfId="683" priority="969" operator="lessThan">
      <formula>74.98</formula>
    </cfRule>
  </conditionalFormatting>
  <conditionalFormatting sqref="DG19">
    <cfRule type="cellIs" dxfId="682" priority="967" operator="between">
      <formula>69.43</formula>
      <formula>80.55</formula>
    </cfRule>
    <cfRule type="cellIs" dxfId="681" priority="968" operator="greaterThan">
      <formula>80.55</formula>
    </cfRule>
  </conditionalFormatting>
  <conditionalFormatting sqref="DI19">
    <cfRule type="cellIs" dxfId="680" priority="966" operator="lessThan">
      <formula>74.98</formula>
    </cfRule>
  </conditionalFormatting>
  <conditionalFormatting sqref="DI19">
    <cfRule type="cellIs" dxfId="679" priority="964" operator="between">
      <formula>69.43</formula>
      <formula>80.55</formula>
    </cfRule>
    <cfRule type="cellIs" dxfId="678" priority="965" operator="greaterThan">
      <formula>80.55</formula>
    </cfRule>
  </conditionalFormatting>
  <conditionalFormatting sqref="DK19">
    <cfRule type="cellIs" dxfId="677" priority="963" operator="lessThan">
      <formula>74.98</formula>
    </cfRule>
  </conditionalFormatting>
  <conditionalFormatting sqref="DK19">
    <cfRule type="cellIs" dxfId="676" priority="961" operator="between">
      <formula>69.43</formula>
      <formula>80.55</formula>
    </cfRule>
    <cfRule type="cellIs" dxfId="675" priority="962" operator="greaterThan">
      <formula>80.55</formula>
    </cfRule>
  </conditionalFormatting>
  <conditionalFormatting sqref="DG6">
    <cfRule type="cellIs" dxfId="674" priority="960" operator="lessThan">
      <formula>74.98</formula>
    </cfRule>
  </conditionalFormatting>
  <conditionalFormatting sqref="DG6">
    <cfRule type="cellIs" dxfId="673" priority="958" operator="between">
      <formula>69.43</formula>
      <formula>80.55</formula>
    </cfRule>
    <cfRule type="cellIs" dxfId="672" priority="959" operator="greaterThan">
      <formula>80.55</formula>
    </cfRule>
  </conditionalFormatting>
  <conditionalFormatting sqref="DG11">
    <cfRule type="cellIs" dxfId="671" priority="957" operator="lessThan">
      <formula>74.98</formula>
    </cfRule>
  </conditionalFormatting>
  <conditionalFormatting sqref="DG11">
    <cfRule type="cellIs" dxfId="670" priority="955" operator="between">
      <formula>69.43</formula>
      <formula>80.55</formula>
    </cfRule>
    <cfRule type="cellIs" dxfId="669" priority="956" operator="greaterThan">
      <formula>80.55</formula>
    </cfRule>
  </conditionalFormatting>
  <conditionalFormatting sqref="DG15">
    <cfRule type="cellIs" dxfId="668" priority="954" operator="lessThan">
      <formula>74.98</formula>
    </cfRule>
  </conditionalFormatting>
  <conditionalFormatting sqref="DG15">
    <cfRule type="cellIs" dxfId="667" priority="952" operator="between">
      <formula>69.43</formula>
      <formula>80.55</formula>
    </cfRule>
    <cfRule type="cellIs" dxfId="666" priority="953" operator="greaterThan">
      <formula>80.55</formula>
    </cfRule>
  </conditionalFormatting>
  <conditionalFormatting sqref="DG10">
    <cfRule type="cellIs" dxfId="665" priority="951" operator="lessThan">
      <formula>74.98</formula>
    </cfRule>
  </conditionalFormatting>
  <conditionalFormatting sqref="DG10">
    <cfRule type="cellIs" dxfId="664" priority="949" operator="between">
      <formula>69.43</formula>
      <formula>80.55</formula>
    </cfRule>
    <cfRule type="cellIs" dxfId="663" priority="950" operator="greaterThan">
      <formula>80.55</formula>
    </cfRule>
  </conditionalFormatting>
  <conditionalFormatting sqref="DG9">
    <cfRule type="cellIs" dxfId="662" priority="948" operator="lessThan">
      <formula>74.98</formula>
    </cfRule>
  </conditionalFormatting>
  <conditionalFormatting sqref="DG9">
    <cfRule type="cellIs" dxfId="661" priority="946" operator="between">
      <formula>69.43</formula>
      <formula>80.55</formula>
    </cfRule>
    <cfRule type="cellIs" dxfId="660" priority="947" operator="greaterThan">
      <formula>80.55</formula>
    </cfRule>
  </conditionalFormatting>
  <conditionalFormatting sqref="DI2">
    <cfRule type="cellIs" dxfId="659" priority="945" operator="lessThan">
      <formula>74.98</formula>
    </cfRule>
  </conditionalFormatting>
  <conditionalFormatting sqref="DI2">
    <cfRule type="cellIs" dxfId="658" priority="943" operator="between">
      <formula>69.43</formula>
      <formula>80.55</formula>
    </cfRule>
    <cfRule type="cellIs" dxfId="657" priority="944" operator="greaterThan">
      <formula>80.55</formula>
    </cfRule>
  </conditionalFormatting>
  <conditionalFormatting sqref="DI6">
    <cfRule type="cellIs" dxfId="656" priority="942" operator="lessThan">
      <formula>74.98</formula>
    </cfRule>
  </conditionalFormatting>
  <conditionalFormatting sqref="DI6">
    <cfRule type="cellIs" dxfId="655" priority="940" operator="between">
      <formula>69.43</formula>
      <formula>80.55</formula>
    </cfRule>
    <cfRule type="cellIs" dxfId="654" priority="941" operator="greaterThan">
      <formula>80.55</formula>
    </cfRule>
  </conditionalFormatting>
  <conditionalFormatting sqref="DI9">
    <cfRule type="cellIs" dxfId="653" priority="939" operator="lessThan">
      <formula>74.98</formula>
    </cfRule>
  </conditionalFormatting>
  <conditionalFormatting sqref="DI9">
    <cfRule type="cellIs" dxfId="652" priority="937" operator="between">
      <formula>69.43</formula>
      <formula>80.55</formula>
    </cfRule>
    <cfRule type="cellIs" dxfId="651" priority="938" operator="greaterThan">
      <formula>80.55</formula>
    </cfRule>
  </conditionalFormatting>
  <conditionalFormatting sqref="DI10">
    <cfRule type="cellIs" dxfId="650" priority="936" operator="lessThan">
      <formula>74.98</formula>
    </cfRule>
  </conditionalFormatting>
  <conditionalFormatting sqref="DI10">
    <cfRule type="cellIs" dxfId="649" priority="934" operator="between">
      <formula>69.43</formula>
      <formula>80.55</formula>
    </cfRule>
    <cfRule type="cellIs" dxfId="648" priority="935" operator="greaterThan">
      <formula>80.55</formula>
    </cfRule>
  </conditionalFormatting>
  <conditionalFormatting sqref="DI11">
    <cfRule type="cellIs" dxfId="647" priority="933" operator="lessThan">
      <formula>74.98</formula>
    </cfRule>
  </conditionalFormatting>
  <conditionalFormatting sqref="DI11">
    <cfRule type="cellIs" dxfId="646" priority="931" operator="between">
      <formula>69.43</formula>
      <formula>80.55</formula>
    </cfRule>
    <cfRule type="cellIs" dxfId="645" priority="932" operator="greaterThan">
      <formula>80.55</formula>
    </cfRule>
  </conditionalFormatting>
  <conditionalFormatting sqref="DI15">
    <cfRule type="cellIs" dxfId="644" priority="930" operator="lessThan">
      <formula>74.98</formula>
    </cfRule>
  </conditionalFormatting>
  <conditionalFormatting sqref="DI15">
    <cfRule type="cellIs" dxfId="643" priority="928" operator="between">
      <formula>69.43</formula>
      <formula>80.55</formula>
    </cfRule>
    <cfRule type="cellIs" dxfId="642" priority="929" operator="greaterThan">
      <formula>80.55</formula>
    </cfRule>
  </conditionalFormatting>
  <conditionalFormatting sqref="DK2">
    <cfRule type="cellIs" dxfId="641" priority="927" operator="lessThan">
      <formula>74.98</formula>
    </cfRule>
  </conditionalFormatting>
  <conditionalFormatting sqref="DK2">
    <cfRule type="cellIs" dxfId="640" priority="925" operator="between">
      <formula>69.43</formula>
      <formula>80.55</formula>
    </cfRule>
    <cfRule type="cellIs" dxfId="639" priority="926" operator="greaterThan">
      <formula>80.55</formula>
    </cfRule>
  </conditionalFormatting>
  <conditionalFormatting sqref="DK15">
    <cfRule type="cellIs" dxfId="638" priority="924" operator="lessThan">
      <formula>74.98</formula>
    </cfRule>
  </conditionalFormatting>
  <conditionalFormatting sqref="DK15">
    <cfRule type="cellIs" dxfId="637" priority="922" operator="between">
      <formula>69.43</formula>
      <formula>80.55</formula>
    </cfRule>
    <cfRule type="cellIs" dxfId="636" priority="923" operator="greaterThan">
      <formula>80.55</formula>
    </cfRule>
  </conditionalFormatting>
  <conditionalFormatting sqref="DM23">
    <cfRule type="cellIs" dxfId="635" priority="921" operator="lessThan">
      <formula>74.98</formula>
    </cfRule>
  </conditionalFormatting>
  <conditionalFormatting sqref="DM23">
    <cfRule type="cellIs" dxfId="634" priority="919" operator="between">
      <formula>69.43</formula>
      <formula>80.55</formula>
    </cfRule>
    <cfRule type="cellIs" dxfId="633" priority="920" operator="greaterThan">
      <formula>80.55</formula>
    </cfRule>
  </conditionalFormatting>
  <conditionalFormatting sqref="DM15">
    <cfRule type="cellIs" dxfId="632" priority="918" operator="lessThan">
      <formula>74.98</formula>
    </cfRule>
  </conditionalFormatting>
  <conditionalFormatting sqref="DM15">
    <cfRule type="cellIs" dxfId="631" priority="916" operator="between">
      <formula>69.43</formula>
      <formula>80.55</formula>
    </cfRule>
    <cfRule type="cellIs" dxfId="630" priority="917" operator="greaterThan">
      <formula>80.55</formula>
    </cfRule>
  </conditionalFormatting>
  <conditionalFormatting sqref="DT12 DV12 DR3 DR7:DR8 DR5">
    <cfRule type="cellIs" dxfId="629" priority="915" operator="lessThan">
      <formula>74.98</formula>
    </cfRule>
  </conditionalFormatting>
  <conditionalFormatting sqref="DT12 DV12 DR3 DR7:DR8 DR5">
    <cfRule type="cellIs" dxfId="628" priority="913" operator="between">
      <formula>69.43</formula>
      <formula>80.55</formula>
    </cfRule>
    <cfRule type="cellIs" dxfId="627" priority="914" operator="greaterThan">
      <formula>80.55</formula>
    </cfRule>
  </conditionalFormatting>
  <conditionalFormatting sqref="DP2:DP3 DV17 DR17 DV21 DT3:DT11 DV2:DV11">
    <cfRule type="cellIs" dxfId="626" priority="912" operator="lessThan">
      <formula>74.98</formula>
    </cfRule>
  </conditionalFormatting>
  <conditionalFormatting sqref="DP2:DP3 DV17 DR17 DV21 DT3:DT11 DV2:DV11">
    <cfRule type="cellIs" dxfId="625" priority="910" operator="between">
      <formula>69.43</formula>
      <formula>80.55</formula>
    </cfRule>
    <cfRule type="cellIs" dxfId="624" priority="911" operator="greaterThan">
      <formula>80.55</formula>
    </cfRule>
  </conditionalFormatting>
  <conditionalFormatting sqref="DP17">
    <cfRule type="cellIs" dxfId="623" priority="909" operator="lessThan">
      <formula>74.98</formula>
    </cfRule>
  </conditionalFormatting>
  <conditionalFormatting sqref="DP17">
    <cfRule type="cellIs" dxfId="622" priority="907" operator="between">
      <formula>69.43</formula>
      <formula>80.55</formula>
    </cfRule>
    <cfRule type="cellIs" dxfId="621" priority="908" operator="greaterThan">
      <formula>80.55</formula>
    </cfRule>
  </conditionalFormatting>
  <conditionalFormatting sqref="DR23 DT23">
    <cfRule type="cellIs" dxfId="620" priority="891" operator="lessThan">
      <formula>74.98</formula>
    </cfRule>
  </conditionalFormatting>
  <conditionalFormatting sqref="DR23 DT23">
    <cfRule type="cellIs" dxfId="619" priority="889" operator="between">
      <formula>69.43</formula>
      <formula>80.55</formula>
    </cfRule>
    <cfRule type="cellIs" dxfId="618" priority="890" operator="greaterThan">
      <formula>80.55</formula>
    </cfRule>
  </conditionalFormatting>
  <conditionalFormatting sqref="DP14">
    <cfRule type="cellIs" dxfId="617" priority="906" operator="lessThan">
      <formula>74.98</formula>
    </cfRule>
  </conditionalFormatting>
  <conditionalFormatting sqref="DP14">
    <cfRule type="cellIs" dxfId="616" priority="904" operator="between">
      <formula>69.43</formula>
      <formula>80.55</formula>
    </cfRule>
    <cfRule type="cellIs" dxfId="615" priority="905" operator="greaterThan">
      <formula>80.55</formula>
    </cfRule>
  </conditionalFormatting>
  <conditionalFormatting sqref="DP14">
    <cfRule type="cellIs" dxfId="614" priority="903" operator="lessThan">
      <formula>74.98</formula>
    </cfRule>
  </conditionalFormatting>
  <conditionalFormatting sqref="DP14">
    <cfRule type="cellIs" dxfId="613" priority="901" operator="between">
      <formula>69.43</formula>
      <formula>80.55</formula>
    </cfRule>
    <cfRule type="cellIs" dxfId="612" priority="902" operator="greaterThan">
      <formula>80.55</formula>
    </cfRule>
  </conditionalFormatting>
  <conditionalFormatting sqref="DP8">
    <cfRule type="cellIs" dxfId="611" priority="897" operator="lessThan">
      <formula>74.98</formula>
    </cfRule>
  </conditionalFormatting>
  <conditionalFormatting sqref="DP8">
    <cfRule type="cellIs" dxfId="610" priority="895" operator="between">
      <formula>69.43</formula>
      <formula>80.55</formula>
    </cfRule>
    <cfRule type="cellIs" dxfId="609" priority="896" operator="greaterThan">
      <formula>80.55</formula>
    </cfRule>
  </conditionalFormatting>
  <conditionalFormatting sqref="DP12">
    <cfRule type="cellIs" dxfId="608" priority="894" operator="lessThan">
      <formula>74.98</formula>
    </cfRule>
  </conditionalFormatting>
  <conditionalFormatting sqref="DP12">
    <cfRule type="cellIs" dxfId="607" priority="892" operator="between">
      <formula>69.43</formula>
      <formula>80.55</formula>
    </cfRule>
    <cfRule type="cellIs" dxfId="606" priority="893" operator="greaterThan">
      <formula>80.55</formula>
    </cfRule>
  </conditionalFormatting>
  <conditionalFormatting sqref="DV25:DV28 DT25:DT28">
    <cfRule type="cellIs" dxfId="605" priority="888" operator="lessThan">
      <formula>74.98</formula>
    </cfRule>
  </conditionalFormatting>
  <conditionalFormatting sqref="DV25:DV28 DT25:DT28">
    <cfRule type="cellIs" dxfId="604" priority="886" operator="between">
      <formula>69.43</formula>
      <formula>80.55</formula>
    </cfRule>
    <cfRule type="cellIs" dxfId="603" priority="887" operator="greaterThan">
      <formula>80.55</formula>
    </cfRule>
  </conditionalFormatting>
  <conditionalFormatting sqref="DP20">
    <cfRule type="cellIs" dxfId="602" priority="882" operator="lessThan">
      <formula>74.98</formula>
    </cfRule>
  </conditionalFormatting>
  <conditionalFormatting sqref="DP20">
    <cfRule type="cellIs" dxfId="601" priority="880" operator="between">
      <formula>69.43</formula>
      <formula>80.55</formula>
    </cfRule>
    <cfRule type="cellIs" dxfId="600" priority="881" operator="greaterThan">
      <formula>80.55</formula>
    </cfRule>
  </conditionalFormatting>
  <conditionalFormatting sqref="DR20">
    <cfRule type="cellIs" dxfId="599" priority="879" operator="lessThan">
      <formula>74.98</formula>
    </cfRule>
  </conditionalFormatting>
  <conditionalFormatting sqref="DR20">
    <cfRule type="cellIs" dxfId="598" priority="877" operator="between">
      <formula>69.43</formula>
      <formula>80.55</formula>
    </cfRule>
    <cfRule type="cellIs" dxfId="597" priority="878" operator="greaterThan">
      <formula>80.55</formula>
    </cfRule>
  </conditionalFormatting>
  <conditionalFormatting sqref="DR22">
    <cfRule type="cellIs" dxfId="596" priority="876" operator="lessThan">
      <formula>74.98</formula>
    </cfRule>
  </conditionalFormatting>
  <conditionalFormatting sqref="DR22">
    <cfRule type="cellIs" dxfId="595" priority="874" operator="between">
      <formula>69.43</formula>
      <formula>80.55</formula>
    </cfRule>
    <cfRule type="cellIs" dxfId="594" priority="875" operator="greaterThan">
      <formula>80.55</formula>
    </cfRule>
  </conditionalFormatting>
  <conditionalFormatting sqref="DV11 DT11">
    <cfRule type="cellIs" dxfId="593" priority="873" operator="lessThan">
      <formula>74.98</formula>
    </cfRule>
  </conditionalFormatting>
  <conditionalFormatting sqref="DV11 DT11">
    <cfRule type="cellIs" dxfId="592" priority="871" operator="between">
      <formula>69.43</formula>
      <formula>80.55</formula>
    </cfRule>
    <cfRule type="cellIs" dxfId="591" priority="872" operator="greaterThan">
      <formula>80.55</formula>
    </cfRule>
  </conditionalFormatting>
  <conditionalFormatting sqref="DV20 DT20">
    <cfRule type="cellIs" dxfId="590" priority="870" operator="lessThan">
      <formula>74.98</formula>
    </cfRule>
  </conditionalFormatting>
  <conditionalFormatting sqref="DV20 DT20">
    <cfRule type="cellIs" dxfId="589" priority="868" operator="between">
      <formula>69.43</formula>
      <formula>80.55</formula>
    </cfRule>
    <cfRule type="cellIs" dxfId="588" priority="869" operator="greaterThan">
      <formula>80.55</formula>
    </cfRule>
  </conditionalFormatting>
  <conditionalFormatting sqref="DV22 DT22">
    <cfRule type="cellIs" dxfId="587" priority="867" operator="lessThan">
      <formula>74.98</formula>
    </cfRule>
  </conditionalFormatting>
  <conditionalFormatting sqref="DV22 DT22">
    <cfRule type="cellIs" dxfId="586" priority="865" operator="between">
      <formula>69.43</formula>
      <formula>80.55</formula>
    </cfRule>
    <cfRule type="cellIs" dxfId="585" priority="866" operator="greaterThan">
      <formula>80.55</formula>
    </cfRule>
  </conditionalFormatting>
  <conditionalFormatting sqref="DP21">
    <cfRule type="cellIs" dxfId="584" priority="864" operator="lessThan">
      <formula>74.98</formula>
    </cfRule>
  </conditionalFormatting>
  <conditionalFormatting sqref="DP21">
    <cfRule type="cellIs" dxfId="583" priority="862" operator="between">
      <formula>69.43</formula>
      <formula>80.55</formula>
    </cfRule>
    <cfRule type="cellIs" dxfId="582" priority="863" operator="greaterThan">
      <formula>80.55</formula>
    </cfRule>
  </conditionalFormatting>
  <conditionalFormatting sqref="DP22">
    <cfRule type="cellIs" dxfId="581" priority="861" operator="lessThan">
      <formula>74.98</formula>
    </cfRule>
  </conditionalFormatting>
  <conditionalFormatting sqref="DP22">
    <cfRule type="cellIs" dxfId="580" priority="859" operator="between">
      <formula>69.43</formula>
      <formula>80.55</formula>
    </cfRule>
    <cfRule type="cellIs" dxfId="579" priority="860" operator="greaterThan">
      <formula>80.55</formula>
    </cfRule>
  </conditionalFormatting>
  <conditionalFormatting sqref="DP23">
    <cfRule type="cellIs" dxfId="578" priority="858" operator="lessThan">
      <formula>74.98</formula>
    </cfRule>
  </conditionalFormatting>
  <conditionalFormatting sqref="DP23">
    <cfRule type="cellIs" dxfId="577" priority="856" operator="between">
      <formula>69.43</formula>
      <formula>80.55</formula>
    </cfRule>
    <cfRule type="cellIs" dxfId="576" priority="857" operator="greaterThan">
      <formula>80.55</formula>
    </cfRule>
  </conditionalFormatting>
  <conditionalFormatting sqref="DP25">
    <cfRule type="cellIs" dxfId="575" priority="855" operator="lessThan">
      <formula>74.98</formula>
    </cfRule>
  </conditionalFormatting>
  <conditionalFormatting sqref="DP25">
    <cfRule type="cellIs" dxfId="574" priority="853" operator="between">
      <formula>69.43</formula>
      <formula>80.55</formula>
    </cfRule>
    <cfRule type="cellIs" dxfId="573" priority="854" operator="greaterThan">
      <formula>80.55</formula>
    </cfRule>
  </conditionalFormatting>
  <conditionalFormatting sqref="DR21">
    <cfRule type="cellIs" dxfId="572" priority="852" operator="lessThan">
      <formula>74.98</formula>
    </cfRule>
  </conditionalFormatting>
  <conditionalFormatting sqref="DR21">
    <cfRule type="cellIs" dxfId="571" priority="850" operator="between">
      <formula>69.43</formula>
      <formula>80.55</formula>
    </cfRule>
    <cfRule type="cellIs" dxfId="570" priority="851" operator="greaterThan">
      <formula>80.55</formula>
    </cfRule>
  </conditionalFormatting>
  <conditionalFormatting sqref="DR25:DR28">
    <cfRule type="cellIs" dxfId="569" priority="849" operator="lessThan">
      <formula>74.98</formula>
    </cfRule>
  </conditionalFormatting>
  <conditionalFormatting sqref="DR25:DR28">
    <cfRule type="cellIs" dxfId="568" priority="847" operator="between">
      <formula>69.43</formula>
      <formula>80.55</formula>
    </cfRule>
    <cfRule type="cellIs" dxfId="567" priority="848" operator="greaterThan">
      <formula>80.55</formula>
    </cfRule>
  </conditionalFormatting>
  <conditionalFormatting sqref="DT13">
    <cfRule type="cellIs" dxfId="566" priority="846" operator="lessThan">
      <formula>74.98</formula>
    </cfRule>
  </conditionalFormatting>
  <conditionalFormatting sqref="DT13">
    <cfRule type="cellIs" dxfId="565" priority="844" operator="between">
      <formula>69.43</formula>
      <formula>80.55</formula>
    </cfRule>
    <cfRule type="cellIs" dxfId="564" priority="845" operator="greaterThan">
      <formula>80.55</formula>
    </cfRule>
  </conditionalFormatting>
  <conditionalFormatting sqref="DT21">
    <cfRule type="cellIs" dxfId="563" priority="843" operator="lessThan">
      <formula>74.98</formula>
    </cfRule>
  </conditionalFormatting>
  <conditionalFormatting sqref="DT21">
    <cfRule type="cellIs" dxfId="562" priority="841" operator="between">
      <formula>69.43</formula>
      <formula>80.55</formula>
    </cfRule>
    <cfRule type="cellIs" dxfId="561" priority="842" operator="greaterThan">
      <formula>80.55</formula>
    </cfRule>
  </conditionalFormatting>
  <conditionalFormatting sqref="DV13">
    <cfRule type="cellIs" dxfId="560" priority="840" operator="lessThan">
      <formula>74.98</formula>
    </cfRule>
  </conditionalFormatting>
  <conditionalFormatting sqref="DV13">
    <cfRule type="cellIs" dxfId="559" priority="838" operator="between">
      <formula>69.43</formula>
      <formula>80.55</formula>
    </cfRule>
    <cfRule type="cellIs" dxfId="558" priority="839" operator="greaterThan">
      <formula>80.55</formula>
    </cfRule>
  </conditionalFormatting>
  <conditionalFormatting sqref="DP5">
    <cfRule type="cellIs" dxfId="557" priority="834" operator="lessThan">
      <formula>74.98</formula>
    </cfRule>
  </conditionalFormatting>
  <conditionalFormatting sqref="DP5">
    <cfRule type="cellIs" dxfId="556" priority="832" operator="between">
      <formula>69.43</formula>
      <formula>80.55</formula>
    </cfRule>
    <cfRule type="cellIs" dxfId="555" priority="833" operator="greaterThan">
      <formula>80.55</formula>
    </cfRule>
  </conditionalFormatting>
  <conditionalFormatting sqref="DP7">
    <cfRule type="cellIs" dxfId="554" priority="831" operator="lessThan">
      <formula>74.98</formula>
    </cfRule>
  </conditionalFormatting>
  <conditionalFormatting sqref="DP7">
    <cfRule type="cellIs" dxfId="553" priority="829" operator="between">
      <formula>69.43</formula>
      <formula>80.55</formula>
    </cfRule>
    <cfRule type="cellIs" dxfId="552" priority="830" operator="greaterThan">
      <formula>80.55</formula>
    </cfRule>
  </conditionalFormatting>
  <conditionalFormatting sqref="DP13">
    <cfRule type="cellIs" dxfId="551" priority="828" operator="lessThan">
      <formula>74.98</formula>
    </cfRule>
  </conditionalFormatting>
  <conditionalFormatting sqref="DP13">
    <cfRule type="cellIs" dxfId="550" priority="826" operator="between">
      <formula>69.43</formula>
      <formula>80.55</formula>
    </cfRule>
    <cfRule type="cellIs" dxfId="549" priority="827" operator="greaterThan">
      <formula>80.55</formula>
    </cfRule>
  </conditionalFormatting>
  <conditionalFormatting sqref="DP26">
    <cfRule type="cellIs" dxfId="548" priority="825" operator="lessThan">
      <formula>74.98</formula>
    </cfRule>
  </conditionalFormatting>
  <conditionalFormatting sqref="DP26">
    <cfRule type="cellIs" dxfId="547" priority="823" operator="between">
      <formula>69.43</formula>
      <formula>80.55</formula>
    </cfRule>
    <cfRule type="cellIs" dxfId="546" priority="824" operator="greaterThan">
      <formula>80.55</formula>
    </cfRule>
  </conditionalFormatting>
  <conditionalFormatting sqref="DP27">
    <cfRule type="cellIs" dxfId="545" priority="822" operator="lessThan">
      <formula>74.98</formula>
    </cfRule>
  </conditionalFormatting>
  <conditionalFormatting sqref="DP27">
    <cfRule type="cellIs" dxfId="544" priority="820" operator="between">
      <formula>69.43</formula>
      <formula>80.55</formula>
    </cfRule>
    <cfRule type="cellIs" dxfId="543" priority="821" operator="greaterThan">
      <formula>80.55</formula>
    </cfRule>
  </conditionalFormatting>
  <conditionalFormatting sqref="DP28">
    <cfRule type="cellIs" dxfId="542" priority="819" operator="lessThan">
      <formula>74.98</formula>
    </cfRule>
  </conditionalFormatting>
  <conditionalFormatting sqref="DP28">
    <cfRule type="cellIs" dxfId="541" priority="817" operator="between">
      <formula>69.43</formula>
      <formula>80.55</formula>
    </cfRule>
    <cfRule type="cellIs" dxfId="540" priority="818" operator="greaterThan">
      <formula>80.55</formula>
    </cfRule>
  </conditionalFormatting>
  <conditionalFormatting sqref="DV16 DT16 DR16">
    <cfRule type="cellIs" dxfId="539" priority="816" operator="lessThan">
      <formula>74.98</formula>
    </cfRule>
  </conditionalFormatting>
  <conditionalFormatting sqref="DV16 DT16 DR16">
    <cfRule type="cellIs" dxfId="538" priority="814" operator="between">
      <formula>69.43</formula>
      <formula>80.55</formula>
    </cfRule>
    <cfRule type="cellIs" dxfId="537" priority="815" operator="greaterThan">
      <formula>80.55</formula>
    </cfRule>
  </conditionalFormatting>
  <conditionalFormatting sqref="DP16">
    <cfRule type="cellIs" dxfId="536" priority="813" operator="lessThan">
      <formula>74.98</formula>
    </cfRule>
  </conditionalFormatting>
  <conditionalFormatting sqref="DP16">
    <cfRule type="cellIs" dxfId="535" priority="811" operator="between">
      <formula>69.43</formula>
      <formula>80.55</formula>
    </cfRule>
    <cfRule type="cellIs" dxfId="534" priority="812" operator="greaterThan">
      <formula>80.55</formula>
    </cfRule>
  </conditionalFormatting>
  <conditionalFormatting sqref="DP18">
    <cfRule type="cellIs" dxfId="533" priority="810" operator="lessThan">
      <formula>74.98</formula>
    </cfRule>
  </conditionalFormatting>
  <conditionalFormatting sqref="DP18">
    <cfRule type="cellIs" dxfId="532" priority="808" operator="between">
      <formula>69.43</formula>
      <formula>80.55</formula>
    </cfRule>
    <cfRule type="cellIs" dxfId="531" priority="809" operator="greaterThan">
      <formula>80.55</formula>
    </cfRule>
  </conditionalFormatting>
  <conditionalFormatting sqref="DR18">
    <cfRule type="cellIs" dxfId="530" priority="798" operator="lessThan">
      <formula>74.98</formula>
    </cfRule>
  </conditionalFormatting>
  <conditionalFormatting sqref="DR18">
    <cfRule type="cellIs" dxfId="529" priority="796" operator="between">
      <formula>69.43</formula>
      <formula>80.55</formula>
    </cfRule>
    <cfRule type="cellIs" dxfId="528" priority="797" operator="greaterThan">
      <formula>80.55</formula>
    </cfRule>
  </conditionalFormatting>
  <conditionalFormatting sqref="DT10">
    <cfRule type="cellIs" dxfId="527" priority="795" operator="lessThan">
      <formula>74.98</formula>
    </cfRule>
  </conditionalFormatting>
  <conditionalFormatting sqref="DT10">
    <cfRule type="cellIs" dxfId="526" priority="793" operator="between">
      <formula>69.43</formula>
      <formula>80.55</formula>
    </cfRule>
    <cfRule type="cellIs" dxfId="525" priority="794" operator="greaterThan">
      <formula>80.55</formula>
    </cfRule>
  </conditionalFormatting>
  <conditionalFormatting sqref="DT18">
    <cfRule type="cellIs" dxfId="524" priority="792" operator="lessThan">
      <formula>74.98</formula>
    </cfRule>
  </conditionalFormatting>
  <conditionalFormatting sqref="DT18">
    <cfRule type="cellIs" dxfId="523" priority="790" operator="between">
      <formula>69.43</formula>
      <formula>80.55</formula>
    </cfRule>
    <cfRule type="cellIs" dxfId="522" priority="791" operator="greaterThan">
      <formula>80.55</formula>
    </cfRule>
  </conditionalFormatting>
  <conditionalFormatting sqref="DV10">
    <cfRule type="cellIs" dxfId="521" priority="789" operator="lessThan">
      <formula>74.98</formula>
    </cfRule>
  </conditionalFormatting>
  <conditionalFormatting sqref="DV10">
    <cfRule type="cellIs" dxfId="520" priority="787" operator="between">
      <formula>69.43</formula>
      <formula>80.55</formula>
    </cfRule>
    <cfRule type="cellIs" dxfId="519" priority="788" operator="greaterThan">
      <formula>80.55</formula>
    </cfRule>
  </conditionalFormatting>
  <conditionalFormatting sqref="DV18">
    <cfRule type="cellIs" dxfId="518" priority="786" operator="lessThan">
      <formula>74.98</formula>
    </cfRule>
  </conditionalFormatting>
  <conditionalFormatting sqref="DV18">
    <cfRule type="cellIs" dxfId="517" priority="784" operator="between">
      <formula>69.43</formula>
      <formula>80.55</formula>
    </cfRule>
    <cfRule type="cellIs" dxfId="516" priority="785" operator="greaterThan">
      <formula>80.55</formula>
    </cfRule>
  </conditionalFormatting>
  <conditionalFormatting sqref="DP6">
    <cfRule type="cellIs" dxfId="515" priority="774" operator="lessThan">
      <formula>74.98</formula>
    </cfRule>
  </conditionalFormatting>
  <conditionalFormatting sqref="DP6">
    <cfRule type="cellIs" dxfId="514" priority="772" operator="between">
      <formula>69.43</formula>
      <formula>80.55</formula>
    </cfRule>
    <cfRule type="cellIs" dxfId="513" priority="773" operator="greaterThan">
      <formula>80.55</formula>
    </cfRule>
  </conditionalFormatting>
  <conditionalFormatting sqref="DP11">
    <cfRule type="cellIs" dxfId="512" priority="771" operator="lessThan">
      <formula>74.98</formula>
    </cfRule>
  </conditionalFormatting>
  <conditionalFormatting sqref="DP11">
    <cfRule type="cellIs" dxfId="511" priority="769" operator="between">
      <formula>69.43</formula>
      <formula>80.55</formula>
    </cfRule>
    <cfRule type="cellIs" dxfId="510" priority="770" operator="greaterThan">
      <formula>80.55</formula>
    </cfRule>
  </conditionalFormatting>
  <conditionalFormatting sqref="DP15">
    <cfRule type="cellIs" dxfId="509" priority="768" operator="lessThan">
      <formula>74.98</formula>
    </cfRule>
  </conditionalFormatting>
  <conditionalFormatting sqref="DP15">
    <cfRule type="cellIs" dxfId="508" priority="766" operator="between">
      <formula>69.43</formula>
      <formula>80.55</formula>
    </cfRule>
    <cfRule type="cellIs" dxfId="507" priority="767" operator="greaterThan">
      <formula>80.55</formula>
    </cfRule>
  </conditionalFormatting>
  <conditionalFormatting sqref="DP10">
    <cfRule type="cellIs" dxfId="506" priority="765" operator="lessThan">
      <formula>74.98</formula>
    </cfRule>
  </conditionalFormatting>
  <conditionalFormatting sqref="DP10">
    <cfRule type="cellIs" dxfId="505" priority="763" operator="between">
      <formula>69.43</formula>
      <formula>80.55</formula>
    </cfRule>
    <cfRule type="cellIs" dxfId="504" priority="764" operator="greaterThan">
      <formula>80.55</formula>
    </cfRule>
  </conditionalFormatting>
  <conditionalFormatting sqref="DP9">
    <cfRule type="cellIs" dxfId="503" priority="762" operator="lessThan">
      <formula>74.98</formula>
    </cfRule>
  </conditionalFormatting>
  <conditionalFormatting sqref="DP9">
    <cfRule type="cellIs" dxfId="502" priority="760" operator="between">
      <formula>69.43</formula>
      <formula>80.55</formula>
    </cfRule>
    <cfRule type="cellIs" dxfId="501" priority="761" operator="greaterThan">
      <formula>80.55</formula>
    </cfRule>
  </conditionalFormatting>
  <conditionalFormatting sqref="DR2">
    <cfRule type="cellIs" dxfId="500" priority="759" operator="lessThan">
      <formula>74.98</formula>
    </cfRule>
  </conditionalFormatting>
  <conditionalFormatting sqref="DR2">
    <cfRule type="cellIs" dxfId="499" priority="757" operator="between">
      <formula>69.43</formula>
      <formula>80.55</formula>
    </cfRule>
    <cfRule type="cellIs" dxfId="498" priority="758" operator="greaterThan">
      <formula>80.55</formula>
    </cfRule>
  </conditionalFormatting>
  <conditionalFormatting sqref="DR6">
    <cfRule type="cellIs" dxfId="497" priority="756" operator="lessThan">
      <formula>74.98</formula>
    </cfRule>
  </conditionalFormatting>
  <conditionalFormatting sqref="DR6">
    <cfRule type="cellIs" dxfId="496" priority="754" operator="between">
      <formula>69.43</formula>
      <formula>80.55</formula>
    </cfRule>
    <cfRule type="cellIs" dxfId="495" priority="755" operator="greaterThan">
      <formula>80.55</formula>
    </cfRule>
  </conditionalFormatting>
  <conditionalFormatting sqref="DR9">
    <cfRule type="cellIs" dxfId="494" priority="753" operator="lessThan">
      <formula>74.98</formula>
    </cfRule>
  </conditionalFormatting>
  <conditionalFormatting sqref="DR9">
    <cfRule type="cellIs" dxfId="493" priority="751" operator="between">
      <formula>69.43</formula>
      <formula>80.55</formula>
    </cfRule>
    <cfRule type="cellIs" dxfId="492" priority="752" operator="greaterThan">
      <formula>80.55</formula>
    </cfRule>
  </conditionalFormatting>
  <conditionalFormatting sqref="DR10">
    <cfRule type="cellIs" dxfId="491" priority="750" operator="lessThan">
      <formula>74.98</formula>
    </cfRule>
  </conditionalFormatting>
  <conditionalFormatting sqref="DR10">
    <cfRule type="cellIs" dxfId="490" priority="748" operator="between">
      <formula>69.43</formula>
      <formula>80.55</formula>
    </cfRule>
    <cfRule type="cellIs" dxfId="489" priority="749" operator="greaterThan">
      <formula>80.55</formula>
    </cfRule>
  </conditionalFormatting>
  <conditionalFormatting sqref="DR11">
    <cfRule type="cellIs" dxfId="488" priority="747" operator="lessThan">
      <formula>74.98</formula>
    </cfRule>
  </conditionalFormatting>
  <conditionalFormatting sqref="DR11">
    <cfRule type="cellIs" dxfId="487" priority="745" operator="between">
      <formula>69.43</formula>
      <formula>80.55</formula>
    </cfRule>
    <cfRule type="cellIs" dxfId="486" priority="746" operator="greaterThan">
      <formula>80.55</formula>
    </cfRule>
  </conditionalFormatting>
  <conditionalFormatting sqref="DR15">
    <cfRule type="cellIs" dxfId="485" priority="744" operator="lessThan">
      <formula>74.98</formula>
    </cfRule>
  </conditionalFormatting>
  <conditionalFormatting sqref="DR15">
    <cfRule type="cellIs" dxfId="484" priority="742" operator="between">
      <formula>69.43</formula>
      <formula>80.55</formula>
    </cfRule>
    <cfRule type="cellIs" dxfId="483" priority="743" operator="greaterThan">
      <formula>80.55</formula>
    </cfRule>
  </conditionalFormatting>
  <conditionalFormatting sqref="DT2">
    <cfRule type="cellIs" dxfId="482" priority="741" operator="lessThan">
      <formula>74.98</formula>
    </cfRule>
  </conditionalFormatting>
  <conditionalFormatting sqref="DT2">
    <cfRule type="cellIs" dxfId="481" priority="739" operator="between">
      <formula>69.43</formula>
      <formula>80.55</formula>
    </cfRule>
    <cfRule type="cellIs" dxfId="480" priority="740" operator="greaterThan">
      <formula>80.55</formula>
    </cfRule>
  </conditionalFormatting>
  <conditionalFormatting sqref="DT15">
    <cfRule type="cellIs" dxfId="479" priority="738" operator="lessThan">
      <formula>74.98</formula>
    </cfRule>
  </conditionalFormatting>
  <conditionalFormatting sqref="DT15">
    <cfRule type="cellIs" dxfId="478" priority="736" operator="between">
      <formula>69.43</formula>
      <formula>80.55</formula>
    </cfRule>
    <cfRule type="cellIs" dxfId="477" priority="737" operator="greaterThan">
      <formula>80.55</formula>
    </cfRule>
  </conditionalFormatting>
  <conditionalFormatting sqref="DV23">
    <cfRule type="cellIs" dxfId="476" priority="735" operator="lessThan">
      <formula>74.98</formula>
    </cfRule>
  </conditionalFormatting>
  <conditionalFormatting sqref="DV23">
    <cfRule type="cellIs" dxfId="475" priority="733" operator="between">
      <formula>69.43</formula>
      <formula>80.55</formula>
    </cfRule>
    <cfRule type="cellIs" dxfId="474" priority="734" operator="greaterThan">
      <formula>80.55</formula>
    </cfRule>
  </conditionalFormatting>
  <conditionalFormatting sqref="DV15">
    <cfRule type="cellIs" dxfId="473" priority="732" operator="lessThan">
      <formula>74.98</formula>
    </cfRule>
  </conditionalFormatting>
  <conditionalFormatting sqref="DV15">
    <cfRule type="cellIs" dxfId="472" priority="730" operator="between">
      <formula>69.43</formula>
      <formula>80.55</formula>
    </cfRule>
    <cfRule type="cellIs" dxfId="471" priority="731" operator="greaterThan">
      <formula>80.55</formula>
    </cfRule>
  </conditionalFormatting>
  <conditionalFormatting sqref="DR19">
    <cfRule type="cellIs" dxfId="470" priority="729" operator="lessThan">
      <formula>74.98</formula>
    </cfRule>
  </conditionalFormatting>
  <conditionalFormatting sqref="DR19">
    <cfRule type="cellIs" dxfId="469" priority="727" operator="between">
      <formula>69.43</formula>
      <formula>80.55</formula>
    </cfRule>
    <cfRule type="cellIs" dxfId="468" priority="728" operator="greaterThan">
      <formula>80.55</formula>
    </cfRule>
  </conditionalFormatting>
  <conditionalFormatting sqref="DT19 DV19">
    <cfRule type="cellIs" dxfId="467" priority="726" operator="lessThan">
      <formula>74.98</formula>
    </cfRule>
  </conditionalFormatting>
  <conditionalFormatting sqref="DT19 DV19">
    <cfRule type="cellIs" dxfId="466" priority="724" operator="between">
      <formula>69.43</formula>
      <formula>80.55</formula>
    </cfRule>
    <cfRule type="cellIs" dxfId="465" priority="725" operator="greaterThan">
      <formula>80.55</formula>
    </cfRule>
  </conditionalFormatting>
  <conditionalFormatting sqref="DP19">
    <cfRule type="cellIs" dxfId="464" priority="723" operator="lessThan">
      <formula>74.98</formula>
    </cfRule>
  </conditionalFormatting>
  <conditionalFormatting sqref="DP19">
    <cfRule type="cellIs" dxfId="463" priority="721" operator="between">
      <formula>69.43</formula>
      <formula>80.55</formula>
    </cfRule>
    <cfRule type="cellIs" dxfId="462" priority="722" operator="greaterThan">
      <formula>80.55</formula>
    </cfRule>
  </conditionalFormatting>
  <conditionalFormatting sqref="DR24 DT24">
    <cfRule type="cellIs" dxfId="461" priority="720" operator="lessThan">
      <formula>74.98</formula>
    </cfRule>
  </conditionalFormatting>
  <conditionalFormatting sqref="DR24 DT24">
    <cfRule type="cellIs" dxfId="460" priority="718" operator="between">
      <formula>69.43</formula>
      <formula>80.55</formula>
    </cfRule>
    <cfRule type="cellIs" dxfId="459" priority="719" operator="greaterThan">
      <formula>80.55</formula>
    </cfRule>
  </conditionalFormatting>
  <conditionalFormatting sqref="DP24">
    <cfRule type="cellIs" dxfId="458" priority="717" operator="lessThan">
      <formula>74.98</formula>
    </cfRule>
  </conditionalFormatting>
  <conditionalFormatting sqref="DP24">
    <cfRule type="cellIs" dxfId="457" priority="715" operator="between">
      <formula>69.43</formula>
      <formula>80.55</formula>
    </cfRule>
    <cfRule type="cellIs" dxfId="456" priority="716" operator="greaterThan">
      <formula>80.55</formula>
    </cfRule>
  </conditionalFormatting>
  <conditionalFormatting sqref="DV24">
    <cfRule type="cellIs" dxfId="455" priority="714" operator="lessThan">
      <formula>74.98</formula>
    </cfRule>
  </conditionalFormatting>
  <conditionalFormatting sqref="DV24">
    <cfRule type="cellIs" dxfId="454" priority="712" operator="between">
      <formula>69.43</formula>
      <formula>80.55</formula>
    </cfRule>
    <cfRule type="cellIs" dxfId="453" priority="713" operator="greaterThan">
      <formula>80.55</formula>
    </cfRule>
  </conditionalFormatting>
  <conditionalFormatting sqref="DP4">
    <cfRule type="cellIs" dxfId="452" priority="711" operator="lessThan">
      <formula>74.98</formula>
    </cfRule>
  </conditionalFormatting>
  <conditionalFormatting sqref="DP4">
    <cfRule type="cellIs" dxfId="451" priority="709" operator="between">
      <formula>69.43</formula>
      <formula>80.55</formula>
    </cfRule>
    <cfRule type="cellIs" dxfId="450" priority="710" operator="greaterThan">
      <formula>80.55</formula>
    </cfRule>
  </conditionalFormatting>
  <conditionalFormatting sqref="DR4">
    <cfRule type="cellIs" dxfId="449" priority="708" operator="lessThan">
      <formula>74.98</formula>
    </cfRule>
  </conditionalFormatting>
  <conditionalFormatting sqref="DR4">
    <cfRule type="cellIs" dxfId="448" priority="706" operator="between">
      <formula>69.43</formula>
      <formula>80.55</formula>
    </cfRule>
    <cfRule type="cellIs" dxfId="447" priority="707" operator="greaterThan">
      <formula>80.55</formula>
    </cfRule>
  </conditionalFormatting>
  <conditionalFormatting sqref="DT17">
    <cfRule type="cellIs" dxfId="446" priority="705" operator="lessThan">
      <formula>74.98</formula>
    </cfRule>
  </conditionalFormatting>
  <conditionalFormatting sqref="DT17">
    <cfRule type="cellIs" dxfId="445" priority="703" operator="between">
      <formula>69.43</formula>
      <formula>80.55</formula>
    </cfRule>
    <cfRule type="cellIs" dxfId="444" priority="704" operator="greaterThan">
      <formula>80.55</formula>
    </cfRule>
  </conditionalFormatting>
  <conditionalFormatting sqref="EC12 EE12 EA3 EA7:EA8 EA12 EA5">
    <cfRule type="cellIs" dxfId="443" priority="702" operator="lessThan">
      <formula>74.98</formula>
    </cfRule>
  </conditionalFormatting>
  <conditionalFormatting sqref="EC12 EE12 EA3 EA7:EA8 EA12 EA5">
    <cfRule type="cellIs" dxfId="442" priority="700" operator="between">
      <formula>69.43</formula>
      <formula>80.55</formula>
    </cfRule>
    <cfRule type="cellIs" dxfId="441" priority="701" operator="greaterThan">
      <formula>80.55</formula>
    </cfRule>
  </conditionalFormatting>
  <conditionalFormatting sqref="DY2:DY3 EE17 EA17 EE21 EC3:EC11 EE2:EE11">
    <cfRule type="cellIs" dxfId="440" priority="699" operator="lessThan">
      <formula>74.98</formula>
    </cfRule>
  </conditionalFormatting>
  <conditionalFormatting sqref="DY2:DY3 EE17 EA17 EE21 EC3:EC11 EE2:EE11">
    <cfRule type="cellIs" dxfId="439" priority="697" operator="between">
      <formula>69.43</formula>
      <formula>80.55</formula>
    </cfRule>
    <cfRule type="cellIs" dxfId="438" priority="698" operator="greaterThan">
      <formula>80.55</formula>
    </cfRule>
  </conditionalFormatting>
  <conditionalFormatting sqref="DY17">
    <cfRule type="cellIs" dxfId="437" priority="696" operator="lessThan">
      <formula>74.98</formula>
    </cfRule>
  </conditionalFormatting>
  <conditionalFormatting sqref="DY17">
    <cfRule type="cellIs" dxfId="436" priority="694" operator="between">
      <formula>69.43</formula>
      <formula>80.55</formula>
    </cfRule>
    <cfRule type="cellIs" dxfId="435" priority="695" operator="greaterThan">
      <formula>80.55</formula>
    </cfRule>
  </conditionalFormatting>
  <conditionalFormatting sqref="EA23 EC23">
    <cfRule type="cellIs" dxfId="434" priority="678" operator="lessThan">
      <formula>74.98</formula>
    </cfRule>
  </conditionalFormatting>
  <conditionalFormatting sqref="EA23 EC23">
    <cfRule type="cellIs" dxfId="433" priority="676" operator="between">
      <formula>69.43</formula>
      <formula>80.55</formula>
    </cfRule>
    <cfRule type="cellIs" dxfId="432" priority="677" operator="greaterThan">
      <formula>80.55</formula>
    </cfRule>
  </conditionalFormatting>
  <conditionalFormatting sqref="DY14">
    <cfRule type="cellIs" dxfId="431" priority="693" operator="lessThan">
      <formula>74.98</formula>
    </cfRule>
  </conditionalFormatting>
  <conditionalFormatting sqref="DY14">
    <cfRule type="cellIs" dxfId="430" priority="691" operator="between">
      <formula>69.43</formula>
      <formula>80.55</formula>
    </cfRule>
    <cfRule type="cellIs" dxfId="429" priority="692" operator="greaterThan">
      <formula>80.55</formula>
    </cfRule>
  </conditionalFormatting>
  <conditionalFormatting sqref="DY14">
    <cfRule type="cellIs" dxfId="428" priority="690" operator="lessThan">
      <formula>74.98</formula>
    </cfRule>
  </conditionalFormatting>
  <conditionalFormatting sqref="DY14">
    <cfRule type="cellIs" dxfId="427" priority="688" operator="between">
      <formula>69.43</formula>
      <formula>80.55</formula>
    </cfRule>
    <cfRule type="cellIs" dxfId="426" priority="689" operator="greaterThan">
      <formula>80.55</formula>
    </cfRule>
  </conditionalFormatting>
  <conditionalFormatting sqref="DY8">
    <cfRule type="cellIs" dxfId="425" priority="684" operator="lessThan">
      <formula>74.98</formula>
    </cfRule>
  </conditionalFormatting>
  <conditionalFormatting sqref="DY8">
    <cfRule type="cellIs" dxfId="424" priority="682" operator="between">
      <formula>69.43</formula>
      <formula>80.55</formula>
    </cfRule>
    <cfRule type="cellIs" dxfId="423" priority="683" operator="greaterThan">
      <formula>80.55</formula>
    </cfRule>
  </conditionalFormatting>
  <conditionalFormatting sqref="DY12">
    <cfRule type="cellIs" dxfId="422" priority="681" operator="lessThan">
      <formula>74.98</formula>
    </cfRule>
  </conditionalFormatting>
  <conditionalFormatting sqref="DY12">
    <cfRule type="cellIs" dxfId="421" priority="679" operator="between">
      <formula>69.43</formula>
      <formula>80.55</formula>
    </cfRule>
    <cfRule type="cellIs" dxfId="420" priority="680" operator="greaterThan">
      <formula>80.55</formula>
    </cfRule>
  </conditionalFormatting>
  <conditionalFormatting sqref="EE25:EE28 EC25:EC28">
    <cfRule type="cellIs" dxfId="419" priority="675" operator="lessThan">
      <formula>74.98</formula>
    </cfRule>
  </conditionalFormatting>
  <conditionalFormatting sqref="EE25:EE28 EC25:EC28">
    <cfRule type="cellIs" dxfId="418" priority="673" operator="between">
      <formula>69.43</formula>
      <formula>80.55</formula>
    </cfRule>
    <cfRule type="cellIs" dxfId="417" priority="674" operator="greaterThan">
      <formula>80.55</formula>
    </cfRule>
  </conditionalFormatting>
  <conditionalFormatting sqref="DY20">
    <cfRule type="cellIs" dxfId="416" priority="672" operator="lessThan">
      <formula>74.98</formula>
    </cfRule>
  </conditionalFormatting>
  <conditionalFormatting sqref="DY20">
    <cfRule type="cellIs" dxfId="415" priority="670" operator="between">
      <formula>69.43</formula>
      <formula>80.55</formula>
    </cfRule>
    <cfRule type="cellIs" dxfId="414" priority="671" operator="greaterThan">
      <formula>80.55</formula>
    </cfRule>
  </conditionalFormatting>
  <conditionalFormatting sqref="EA20">
    <cfRule type="cellIs" dxfId="413" priority="669" operator="lessThan">
      <formula>74.98</formula>
    </cfRule>
  </conditionalFormatting>
  <conditionalFormatting sqref="EA20">
    <cfRule type="cellIs" dxfId="412" priority="667" operator="between">
      <formula>69.43</formula>
      <formula>80.55</formula>
    </cfRule>
    <cfRule type="cellIs" dxfId="411" priority="668" operator="greaterThan">
      <formula>80.55</formula>
    </cfRule>
  </conditionalFormatting>
  <conditionalFormatting sqref="EA22">
    <cfRule type="cellIs" dxfId="410" priority="666" operator="lessThan">
      <formula>74.98</formula>
    </cfRule>
  </conditionalFormatting>
  <conditionalFormatting sqref="EA22">
    <cfRule type="cellIs" dxfId="409" priority="664" operator="between">
      <formula>69.43</formula>
      <formula>80.55</formula>
    </cfRule>
    <cfRule type="cellIs" dxfId="408" priority="665" operator="greaterThan">
      <formula>80.55</formula>
    </cfRule>
  </conditionalFormatting>
  <conditionalFormatting sqref="EE11 EC11">
    <cfRule type="cellIs" dxfId="407" priority="663" operator="lessThan">
      <formula>74.98</formula>
    </cfRule>
  </conditionalFormatting>
  <conditionalFormatting sqref="EE11 EC11">
    <cfRule type="cellIs" dxfId="406" priority="661" operator="between">
      <formula>69.43</formula>
      <formula>80.55</formula>
    </cfRule>
    <cfRule type="cellIs" dxfId="405" priority="662" operator="greaterThan">
      <formula>80.55</formula>
    </cfRule>
  </conditionalFormatting>
  <conditionalFormatting sqref="EE20 EC20">
    <cfRule type="cellIs" dxfId="404" priority="660" operator="lessThan">
      <formula>74.98</formula>
    </cfRule>
  </conditionalFormatting>
  <conditionalFormatting sqref="EE20 EC20">
    <cfRule type="cellIs" dxfId="403" priority="658" operator="between">
      <formula>69.43</formula>
      <formula>80.55</formula>
    </cfRule>
    <cfRule type="cellIs" dxfId="402" priority="659" operator="greaterThan">
      <formula>80.55</formula>
    </cfRule>
  </conditionalFormatting>
  <conditionalFormatting sqref="EE22 EC22">
    <cfRule type="cellIs" dxfId="401" priority="657" operator="lessThan">
      <formula>74.98</formula>
    </cfRule>
  </conditionalFormatting>
  <conditionalFormatting sqref="EE22 EC22">
    <cfRule type="cellIs" dxfId="400" priority="655" operator="between">
      <formula>69.43</formula>
      <formula>80.55</formula>
    </cfRule>
    <cfRule type="cellIs" dxfId="399" priority="656" operator="greaterThan">
      <formula>80.55</formula>
    </cfRule>
  </conditionalFormatting>
  <conditionalFormatting sqref="DY21">
    <cfRule type="cellIs" dxfId="398" priority="654" operator="lessThan">
      <formula>74.98</formula>
    </cfRule>
  </conditionalFormatting>
  <conditionalFormatting sqref="DY21">
    <cfRule type="cellIs" dxfId="397" priority="652" operator="between">
      <formula>69.43</formula>
      <formula>80.55</formula>
    </cfRule>
    <cfRule type="cellIs" dxfId="396" priority="653" operator="greaterThan">
      <formula>80.55</formula>
    </cfRule>
  </conditionalFormatting>
  <conditionalFormatting sqref="DY22">
    <cfRule type="cellIs" dxfId="395" priority="651" operator="lessThan">
      <formula>74.98</formula>
    </cfRule>
  </conditionalFormatting>
  <conditionalFormatting sqref="DY22">
    <cfRule type="cellIs" dxfId="394" priority="649" operator="between">
      <formula>69.43</formula>
      <formula>80.55</formula>
    </cfRule>
    <cfRule type="cellIs" dxfId="393" priority="650" operator="greaterThan">
      <formula>80.55</formula>
    </cfRule>
  </conditionalFormatting>
  <conditionalFormatting sqref="DY23">
    <cfRule type="cellIs" dxfId="392" priority="648" operator="lessThan">
      <formula>74.98</formula>
    </cfRule>
  </conditionalFormatting>
  <conditionalFormatting sqref="DY23">
    <cfRule type="cellIs" dxfId="391" priority="646" operator="between">
      <formula>69.43</formula>
      <formula>80.55</formula>
    </cfRule>
    <cfRule type="cellIs" dxfId="390" priority="647" operator="greaterThan">
      <formula>80.55</formula>
    </cfRule>
  </conditionalFormatting>
  <conditionalFormatting sqref="DY25">
    <cfRule type="cellIs" dxfId="389" priority="645" operator="lessThan">
      <formula>74.98</formula>
    </cfRule>
  </conditionalFormatting>
  <conditionalFormatting sqref="DY25">
    <cfRule type="cellIs" dxfId="388" priority="643" operator="between">
      <formula>69.43</formula>
      <formula>80.55</formula>
    </cfRule>
    <cfRule type="cellIs" dxfId="387" priority="644" operator="greaterThan">
      <formula>80.55</formula>
    </cfRule>
  </conditionalFormatting>
  <conditionalFormatting sqref="EA21">
    <cfRule type="cellIs" dxfId="386" priority="642" operator="lessThan">
      <formula>74.98</formula>
    </cfRule>
  </conditionalFormatting>
  <conditionalFormatting sqref="EA21">
    <cfRule type="cellIs" dxfId="385" priority="640" operator="between">
      <formula>69.43</formula>
      <formula>80.55</formula>
    </cfRule>
    <cfRule type="cellIs" dxfId="384" priority="641" operator="greaterThan">
      <formula>80.55</formula>
    </cfRule>
  </conditionalFormatting>
  <conditionalFormatting sqref="EA25:EA28">
    <cfRule type="cellIs" dxfId="383" priority="639" operator="lessThan">
      <formula>74.98</formula>
    </cfRule>
  </conditionalFormatting>
  <conditionalFormatting sqref="EA25:EA28">
    <cfRule type="cellIs" dxfId="382" priority="637" operator="between">
      <formula>69.43</formula>
      <formula>80.55</formula>
    </cfRule>
    <cfRule type="cellIs" dxfId="381" priority="638" operator="greaterThan">
      <formula>80.55</formula>
    </cfRule>
  </conditionalFormatting>
  <conditionalFormatting sqref="EC21">
    <cfRule type="cellIs" dxfId="380" priority="633" operator="lessThan">
      <formula>74.98</formula>
    </cfRule>
  </conditionalFormatting>
  <conditionalFormatting sqref="EC21">
    <cfRule type="cellIs" dxfId="379" priority="631" operator="between">
      <formula>69.43</formula>
      <formula>80.55</formula>
    </cfRule>
    <cfRule type="cellIs" dxfId="378" priority="632" operator="greaterThan">
      <formula>80.55</formula>
    </cfRule>
  </conditionalFormatting>
  <conditionalFormatting sqref="DY27">
    <cfRule type="cellIs" dxfId="377" priority="615" operator="lessThan">
      <formula>74.98</formula>
    </cfRule>
  </conditionalFormatting>
  <conditionalFormatting sqref="DY27">
    <cfRule type="cellIs" dxfId="376" priority="613" operator="between">
      <formula>69.43</formula>
      <formula>80.55</formula>
    </cfRule>
    <cfRule type="cellIs" dxfId="375" priority="614" operator="greaterThan">
      <formula>80.55</formula>
    </cfRule>
  </conditionalFormatting>
  <conditionalFormatting sqref="DY5">
    <cfRule type="cellIs" dxfId="374" priority="627" operator="lessThan">
      <formula>74.98</formula>
    </cfRule>
  </conditionalFormatting>
  <conditionalFormatting sqref="DY5">
    <cfRule type="cellIs" dxfId="373" priority="625" operator="between">
      <formula>69.43</formula>
      <formula>80.55</formula>
    </cfRule>
    <cfRule type="cellIs" dxfId="372" priority="626" operator="greaterThan">
      <formula>80.55</formula>
    </cfRule>
  </conditionalFormatting>
  <conditionalFormatting sqref="DY7">
    <cfRule type="cellIs" dxfId="371" priority="624" operator="lessThan">
      <formula>74.98</formula>
    </cfRule>
  </conditionalFormatting>
  <conditionalFormatting sqref="DY7">
    <cfRule type="cellIs" dxfId="370" priority="622" operator="between">
      <formula>69.43</formula>
      <formula>80.55</formula>
    </cfRule>
    <cfRule type="cellIs" dxfId="369" priority="623" operator="greaterThan">
      <formula>80.55</formula>
    </cfRule>
  </conditionalFormatting>
  <conditionalFormatting sqref="DY26">
    <cfRule type="cellIs" dxfId="368" priority="618" operator="lessThan">
      <formula>74.98</formula>
    </cfRule>
  </conditionalFormatting>
  <conditionalFormatting sqref="DY26">
    <cfRule type="cellIs" dxfId="367" priority="616" operator="between">
      <formula>69.43</formula>
      <formula>80.55</formula>
    </cfRule>
    <cfRule type="cellIs" dxfId="366" priority="617" operator="greaterThan">
      <formula>80.55</formula>
    </cfRule>
  </conditionalFormatting>
  <conditionalFormatting sqref="DY28">
    <cfRule type="cellIs" dxfId="365" priority="612" operator="lessThan">
      <formula>74.98</formula>
    </cfRule>
  </conditionalFormatting>
  <conditionalFormatting sqref="DY28">
    <cfRule type="cellIs" dxfId="364" priority="610" operator="between">
      <formula>69.43</formula>
      <formula>80.55</formula>
    </cfRule>
    <cfRule type="cellIs" dxfId="363" priority="611" operator="greaterThan">
      <formula>80.55</formula>
    </cfRule>
  </conditionalFormatting>
  <conditionalFormatting sqref="DY18">
    <cfRule type="cellIs" dxfId="362" priority="603" operator="lessThan">
      <formula>74.98</formula>
    </cfRule>
  </conditionalFormatting>
  <conditionalFormatting sqref="DY18">
    <cfRule type="cellIs" dxfId="361" priority="601" operator="between">
      <formula>69.43</formula>
      <formula>80.55</formula>
    </cfRule>
    <cfRule type="cellIs" dxfId="360" priority="602" operator="greaterThan">
      <formula>80.55</formula>
    </cfRule>
  </conditionalFormatting>
  <conditionalFormatting sqref="EA18">
    <cfRule type="cellIs" dxfId="359" priority="600" operator="lessThan">
      <formula>74.98</formula>
    </cfRule>
  </conditionalFormatting>
  <conditionalFormatting sqref="EA18">
    <cfRule type="cellIs" dxfId="358" priority="598" operator="between">
      <formula>69.43</formula>
      <formula>80.55</formula>
    </cfRule>
    <cfRule type="cellIs" dxfId="357" priority="599" operator="greaterThan">
      <formula>80.55</formula>
    </cfRule>
  </conditionalFormatting>
  <conditionalFormatting sqref="EC10">
    <cfRule type="cellIs" dxfId="356" priority="597" operator="lessThan">
      <formula>74.98</formula>
    </cfRule>
  </conditionalFormatting>
  <conditionalFormatting sqref="EC10">
    <cfRule type="cellIs" dxfId="355" priority="595" operator="between">
      <formula>69.43</formula>
      <formula>80.55</formula>
    </cfRule>
    <cfRule type="cellIs" dxfId="354" priority="596" operator="greaterThan">
      <formula>80.55</formula>
    </cfRule>
  </conditionalFormatting>
  <conditionalFormatting sqref="EC18">
    <cfRule type="cellIs" dxfId="353" priority="594" operator="lessThan">
      <formula>74.98</formula>
    </cfRule>
  </conditionalFormatting>
  <conditionalFormatting sqref="EC18">
    <cfRule type="cellIs" dxfId="352" priority="592" operator="between">
      <formula>69.43</formula>
      <formula>80.55</formula>
    </cfRule>
    <cfRule type="cellIs" dxfId="351" priority="593" operator="greaterThan">
      <formula>80.55</formula>
    </cfRule>
  </conditionalFormatting>
  <conditionalFormatting sqref="EE10">
    <cfRule type="cellIs" dxfId="350" priority="591" operator="lessThan">
      <formula>74.98</formula>
    </cfRule>
  </conditionalFormatting>
  <conditionalFormatting sqref="EE10">
    <cfRule type="cellIs" dxfId="349" priority="589" operator="between">
      <formula>69.43</formula>
      <formula>80.55</formula>
    </cfRule>
    <cfRule type="cellIs" dxfId="348" priority="590" operator="greaterThan">
      <formula>80.55</formula>
    </cfRule>
  </conditionalFormatting>
  <conditionalFormatting sqref="EE18">
    <cfRule type="cellIs" dxfId="347" priority="588" operator="lessThan">
      <formula>74.98</formula>
    </cfRule>
  </conditionalFormatting>
  <conditionalFormatting sqref="EE18">
    <cfRule type="cellIs" dxfId="346" priority="586" operator="between">
      <formula>69.43</formula>
      <formula>80.55</formula>
    </cfRule>
    <cfRule type="cellIs" dxfId="345" priority="587" operator="greaterThan">
      <formula>80.55</formula>
    </cfRule>
  </conditionalFormatting>
  <conditionalFormatting sqref="DY6">
    <cfRule type="cellIs" dxfId="344" priority="585" operator="lessThan">
      <formula>74.98</formula>
    </cfRule>
  </conditionalFormatting>
  <conditionalFormatting sqref="DY6">
    <cfRule type="cellIs" dxfId="343" priority="583" operator="between">
      <formula>69.43</formula>
      <formula>80.55</formula>
    </cfRule>
    <cfRule type="cellIs" dxfId="342" priority="584" operator="greaterThan">
      <formula>80.55</formula>
    </cfRule>
  </conditionalFormatting>
  <conditionalFormatting sqref="DY11">
    <cfRule type="cellIs" dxfId="341" priority="582" operator="lessThan">
      <formula>74.98</formula>
    </cfRule>
  </conditionalFormatting>
  <conditionalFormatting sqref="DY11">
    <cfRule type="cellIs" dxfId="340" priority="580" operator="between">
      <formula>69.43</formula>
      <formula>80.55</formula>
    </cfRule>
    <cfRule type="cellIs" dxfId="339" priority="581" operator="greaterThan">
      <formula>80.55</formula>
    </cfRule>
  </conditionalFormatting>
  <conditionalFormatting sqref="DY15">
    <cfRule type="cellIs" dxfId="338" priority="579" operator="lessThan">
      <formula>74.98</formula>
    </cfRule>
  </conditionalFormatting>
  <conditionalFormatting sqref="DY15">
    <cfRule type="cellIs" dxfId="337" priority="577" operator="between">
      <formula>69.43</formula>
      <formula>80.55</formula>
    </cfRule>
    <cfRule type="cellIs" dxfId="336" priority="578" operator="greaterThan">
      <formula>80.55</formula>
    </cfRule>
  </conditionalFormatting>
  <conditionalFormatting sqref="DY10">
    <cfRule type="cellIs" dxfId="335" priority="576" operator="lessThan">
      <formula>74.98</formula>
    </cfRule>
  </conditionalFormatting>
  <conditionalFormatting sqref="DY10">
    <cfRule type="cellIs" dxfId="334" priority="574" operator="between">
      <formula>69.43</formula>
      <formula>80.55</formula>
    </cfRule>
    <cfRule type="cellIs" dxfId="333" priority="575" operator="greaterThan">
      <formula>80.55</formula>
    </cfRule>
  </conditionalFormatting>
  <conditionalFormatting sqref="DY9">
    <cfRule type="cellIs" dxfId="332" priority="573" operator="lessThan">
      <formula>74.98</formula>
    </cfRule>
  </conditionalFormatting>
  <conditionalFormatting sqref="DY9">
    <cfRule type="cellIs" dxfId="331" priority="571" operator="between">
      <formula>69.43</formula>
      <formula>80.55</formula>
    </cfRule>
    <cfRule type="cellIs" dxfId="330" priority="572" operator="greaterThan">
      <formula>80.55</formula>
    </cfRule>
  </conditionalFormatting>
  <conditionalFormatting sqref="EA2">
    <cfRule type="cellIs" dxfId="329" priority="570" operator="lessThan">
      <formula>74.98</formula>
    </cfRule>
  </conditionalFormatting>
  <conditionalFormatting sqref="EA2">
    <cfRule type="cellIs" dxfId="328" priority="568" operator="between">
      <formula>69.43</formula>
      <formula>80.55</formula>
    </cfRule>
    <cfRule type="cellIs" dxfId="327" priority="569" operator="greaterThan">
      <formula>80.55</formula>
    </cfRule>
  </conditionalFormatting>
  <conditionalFormatting sqref="EA6">
    <cfRule type="cellIs" dxfId="326" priority="567" operator="lessThan">
      <formula>74.98</formula>
    </cfRule>
  </conditionalFormatting>
  <conditionalFormatting sqref="EA6">
    <cfRule type="cellIs" dxfId="325" priority="565" operator="between">
      <formula>69.43</formula>
      <formula>80.55</formula>
    </cfRule>
    <cfRule type="cellIs" dxfId="324" priority="566" operator="greaterThan">
      <formula>80.55</formula>
    </cfRule>
  </conditionalFormatting>
  <conditionalFormatting sqref="EA9">
    <cfRule type="cellIs" dxfId="323" priority="564" operator="lessThan">
      <formula>74.98</formula>
    </cfRule>
  </conditionalFormatting>
  <conditionalFormatting sqref="EA9">
    <cfRule type="cellIs" dxfId="322" priority="562" operator="between">
      <formula>69.43</formula>
      <formula>80.55</formula>
    </cfRule>
    <cfRule type="cellIs" dxfId="321" priority="563" operator="greaterThan">
      <formula>80.55</formula>
    </cfRule>
  </conditionalFormatting>
  <conditionalFormatting sqref="EA10">
    <cfRule type="cellIs" dxfId="320" priority="561" operator="lessThan">
      <formula>74.98</formula>
    </cfRule>
  </conditionalFormatting>
  <conditionalFormatting sqref="EA10">
    <cfRule type="cellIs" dxfId="319" priority="559" operator="between">
      <formula>69.43</formula>
      <formula>80.55</formula>
    </cfRule>
    <cfRule type="cellIs" dxfId="318" priority="560" operator="greaterThan">
      <formula>80.55</formula>
    </cfRule>
  </conditionalFormatting>
  <conditionalFormatting sqref="EA11">
    <cfRule type="cellIs" dxfId="317" priority="558" operator="lessThan">
      <formula>74.98</formula>
    </cfRule>
  </conditionalFormatting>
  <conditionalFormatting sqref="EA11">
    <cfRule type="cellIs" dxfId="316" priority="556" operator="between">
      <formula>69.43</formula>
      <formula>80.55</formula>
    </cfRule>
    <cfRule type="cellIs" dxfId="315" priority="557" operator="greaterThan">
      <formula>80.55</formula>
    </cfRule>
  </conditionalFormatting>
  <conditionalFormatting sqref="EA15">
    <cfRule type="cellIs" dxfId="314" priority="555" operator="lessThan">
      <formula>74.98</formula>
    </cfRule>
  </conditionalFormatting>
  <conditionalFormatting sqref="EA15">
    <cfRule type="cellIs" dxfId="313" priority="553" operator="between">
      <formula>69.43</formula>
      <formula>80.55</formula>
    </cfRule>
    <cfRule type="cellIs" dxfId="312" priority="554" operator="greaterThan">
      <formula>80.55</formula>
    </cfRule>
  </conditionalFormatting>
  <conditionalFormatting sqref="EC2">
    <cfRule type="cellIs" dxfId="311" priority="552" operator="lessThan">
      <formula>74.98</formula>
    </cfRule>
  </conditionalFormatting>
  <conditionalFormatting sqref="EC2">
    <cfRule type="cellIs" dxfId="310" priority="550" operator="between">
      <formula>69.43</formula>
      <formula>80.55</formula>
    </cfRule>
    <cfRule type="cellIs" dxfId="309" priority="551" operator="greaterThan">
      <formula>80.55</formula>
    </cfRule>
  </conditionalFormatting>
  <conditionalFormatting sqref="EC15">
    <cfRule type="cellIs" dxfId="308" priority="549" operator="lessThan">
      <formula>74.98</formula>
    </cfRule>
  </conditionalFormatting>
  <conditionalFormatting sqref="EC15">
    <cfRule type="cellIs" dxfId="307" priority="547" operator="between">
      <formula>69.43</formula>
      <formula>80.55</formula>
    </cfRule>
    <cfRule type="cellIs" dxfId="306" priority="548" operator="greaterThan">
      <formula>80.55</formula>
    </cfRule>
  </conditionalFormatting>
  <conditionalFormatting sqref="EE23">
    <cfRule type="cellIs" dxfId="305" priority="546" operator="lessThan">
      <formula>74.98</formula>
    </cfRule>
  </conditionalFormatting>
  <conditionalFormatting sqref="EE23">
    <cfRule type="cellIs" dxfId="304" priority="544" operator="between">
      <formula>69.43</formula>
      <formula>80.55</formula>
    </cfRule>
    <cfRule type="cellIs" dxfId="303" priority="545" operator="greaterThan">
      <formula>80.55</formula>
    </cfRule>
  </conditionalFormatting>
  <conditionalFormatting sqref="EE15">
    <cfRule type="cellIs" dxfId="302" priority="543" operator="lessThan">
      <formula>74.98</formula>
    </cfRule>
  </conditionalFormatting>
  <conditionalFormatting sqref="EE15">
    <cfRule type="cellIs" dxfId="301" priority="541" operator="between">
      <formula>69.43</formula>
      <formula>80.55</formula>
    </cfRule>
    <cfRule type="cellIs" dxfId="300" priority="542" operator="greaterThan">
      <formula>80.55</formula>
    </cfRule>
  </conditionalFormatting>
  <conditionalFormatting sqref="EA19">
    <cfRule type="cellIs" dxfId="299" priority="540" operator="lessThan">
      <formula>74.98</formula>
    </cfRule>
  </conditionalFormatting>
  <conditionalFormatting sqref="EA19">
    <cfRule type="cellIs" dxfId="298" priority="538" operator="between">
      <formula>69.43</formula>
      <formula>80.55</formula>
    </cfRule>
    <cfRule type="cellIs" dxfId="297" priority="539" operator="greaterThan">
      <formula>80.55</formula>
    </cfRule>
  </conditionalFormatting>
  <conditionalFormatting sqref="EC19 EE19">
    <cfRule type="cellIs" dxfId="296" priority="537" operator="lessThan">
      <formula>74.98</formula>
    </cfRule>
  </conditionalFormatting>
  <conditionalFormatting sqref="EC19 EE19">
    <cfRule type="cellIs" dxfId="295" priority="535" operator="between">
      <formula>69.43</formula>
      <formula>80.55</formula>
    </cfRule>
    <cfRule type="cellIs" dxfId="294" priority="536" operator="greaterThan">
      <formula>80.55</formula>
    </cfRule>
  </conditionalFormatting>
  <conditionalFormatting sqref="DY19">
    <cfRule type="cellIs" dxfId="293" priority="534" operator="lessThan">
      <formula>74.98</formula>
    </cfRule>
  </conditionalFormatting>
  <conditionalFormatting sqref="DY19">
    <cfRule type="cellIs" dxfId="292" priority="532" operator="between">
      <formula>69.43</formula>
      <formula>80.55</formula>
    </cfRule>
    <cfRule type="cellIs" dxfId="291" priority="533" operator="greaterThan">
      <formula>80.55</formula>
    </cfRule>
  </conditionalFormatting>
  <conditionalFormatting sqref="EA24 EC24">
    <cfRule type="cellIs" dxfId="290" priority="531" operator="lessThan">
      <formula>74.98</formula>
    </cfRule>
  </conditionalFormatting>
  <conditionalFormatting sqref="EA24 EC24">
    <cfRule type="cellIs" dxfId="289" priority="529" operator="between">
      <formula>69.43</formula>
      <formula>80.55</formula>
    </cfRule>
    <cfRule type="cellIs" dxfId="288" priority="530" operator="greaterThan">
      <formula>80.55</formula>
    </cfRule>
  </conditionalFormatting>
  <conditionalFormatting sqref="DY24">
    <cfRule type="cellIs" dxfId="287" priority="528" operator="lessThan">
      <formula>74.98</formula>
    </cfRule>
  </conditionalFormatting>
  <conditionalFormatting sqref="DY24">
    <cfRule type="cellIs" dxfId="286" priority="526" operator="between">
      <formula>69.43</formula>
      <formula>80.55</formula>
    </cfRule>
    <cfRule type="cellIs" dxfId="285" priority="527" operator="greaterThan">
      <formula>80.55</formula>
    </cfRule>
  </conditionalFormatting>
  <conditionalFormatting sqref="EE24">
    <cfRule type="cellIs" dxfId="284" priority="525" operator="lessThan">
      <formula>74.98</formula>
    </cfRule>
  </conditionalFormatting>
  <conditionalFormatting sqref="EE24">
    <cfRule type="cellIs" dxfId="283" priority="523" operator="between">
      <formula>69.43</formula>
      <formula>80.55</formula>
    </cfRule>
    <cfRule type="cellIs" dxfId="282" priority="524" operator="greaterThan">
      <formula>80.55</formula>
    </cfRule>
  </conditionalFormatting>
  <conditionalFormatting sqref="DY4">
    <cfRule type="cellIs" dxfId="281" priority="522" operator="lessThan">
      <formula>74.98</formula>
    </cfRule>
  </conditionalFormatting>
  <conditionalFormatting sqref="DY4">
    <cfRule type="cellIs" dxfId="280" priority="520" operator="between">
      <formula>69.43</formula>
      <formula>80.55</formula>
    </cfRule>
    <cfRule type="cellIs" dxfId="279" priority="521" operator="greaterThan">
      <formula>80.55</formula>
    </cfRule>
  </conditionalFormatting>
  <conditionalFormatting sqref="EA4">
    <cfRule type="cellIs" dxfId="278" priority="519" operator="lessThan">
      <formula>74.98</formula>
    </cfRule>
  </conditionalFormatting>
  <conditionalFormatting sqref="EA4">
    <cfRule type="cellIs" dxfId="277" priority="517" operator="between">
      <formula>69.43</formula>
      <formula>80.55</formula>
    </cfRule>
    <cfRule type="cellIs" dxfId="276" priority="518" operator="greaterThan">
      <formula>80.55</formula>
    </cfRule>
  </conditionalFormatting>
  <conditionalFormatting sqref="EC17">
    <cfRule type="cellIs" dxfId="275" priority="516" operator="lessThan">
      <formula>74.98</formula>
    </cfRule>
  </conditionalFormatting>
  <conditionalFormatting sqref="EC17">
    <cfRule type="cellIs" dxfId="274" priority="514" operator="between">
      <formula>69.43</formula>
      <formula>80.55</formula>
    </cfRule>
    <cfRule type="cellIs" dxfId="273" priority="515" operator="greaterThan">
      <formula>80.55</formula>
    </cfRule>
  </conditionalFormatting>
  <conditionalFormatting sqref="EC13 EE13">
    <cfRule type="cellIs" dxfId="272" priority="513" operator="lessThan">
      <formula>74.98</formula>
    </cfRule>
  </conditionalFormatting>
  <conditionalFormatting sqref="EC13 EE13">
    <cfRule type="cellIs" dxfId="271" priority="511" operator="between">
      <formula>69.43</formula>
      <formula>80.55</formula>
    </cfRule>
    <cfRule type="cellIs" dxfId="270" priority="512" operator="greaterThan">
      <formula>80.55</formula>
    </cfRule>
  </conditionalFormatting>
  <conditionalFormatting sqref="EC13">
    <cfRule type="cellIs" dxfId="269" priority="510" operator="lessThan">
      <formula>74.98</formula>
    </cfRule>
  </conditionalFormatting>
  <conditionalFormatting sqref="EC13">
    <cfRule type="cellIs" dxfId="268" priority="508" operator="between">
      <formula>69.43</formula>
      <formula>80.55</formula>
    </cfRule>
    <cfRule type="cellIs" dxfId="267" priority="509" operator="greaterThan">
      <formula>80.55</formula>
    </cfRule>
  </conditionalFormatting>
  <conditionalFormatting sqref="EE13">
    <cfRule type="cellIs" dxfId="266" priority="507" operator="lessThan">
      <formula>74.98</formula>
    </cfRule>
  </conditionalFormatting>
  <conditionalFormatting sqref="EE13">
    <cfRule type="cellIs" dxfId="265" priority="505" operator="between">
      <formula>69.43</formula>
      <formula>80.55</formula>
    </cfRule>
    <cfRule type="cellIs" dxfId="264" priority="506" operator="greaterThan">
      <formula>80.55</formula>
    </cfRule>
  </conditionalFormatting>
  <conditionalFormatting sqref="DY13">
    <cfRule type="cellIs" dxfId="263" priority="504" operator="lessThan">
      <formula>74.98</formula>
    </cfRule>
  </conditionalFormatting>
  <conditionalFormatting sqref="DY13">
    <cfRule type="cellIs" dxfId="262" priority="502" operator="between">
      <formula>69.43</formula>
      <formula>80.55</formula>
    </cfRule>
    <cfRule type="cellIs" dxfId="261" priority="503" operator="greaterThan">
      <formula>80.55</formula>
    </cfRule>
  </conditionalFormatting>
  <conditionalFormatting sqref="EA13">
    <cfRule type="cellIs" dxfId="260" priority="501" operator="lessThan">
      <formula>74.98</formula>
    </cfRule>
  </conditionalFormatting>
  <conditionalFormatting sqref="EA13">
    <cfRule type="cellIs" dxfId="259" priority="499" operator="between">
      <formula>69.43</formula>
      <formula>80.55</formula>
    </cfRule>
    <cfRule type="cellIs" dxfId="258" priority="500" operator="greaterThan">
      <formula>80.55</formula>
    </cfRule>
  </conditionalFormatting>
  <conditionalFormatting sqref="EA16 EC16">
    <cfRule type="cellIs" dxfId="257" priority="498" operator="lessThan">
      <formula>74.98</formula>
    </cfRule>
  </conditionalFormatting>
  <conditionalFormatting sqref="EA16 EC16">
    <cfRule type="cellIs" dxfId="256" priority="496" operator="between">
      <formula>69.43</formula>
      <formula>80.55</formula>
    </cfRule>
    <cfRule type="cellIs" dxfId="255" priority="497" operator="greaterThan">
      <formula>80.55</formula>
    </cfRule>
  </conditionalFormatting>
  <conditionalFormatting sqref="DY16">
    <cfRule type="cellIs" dxfId="254" priority="495" operator="lessThan">
      <formula>74.98</formula>
    </cfRule>
  </conditionalFormatting>
  <conditionalFormatting sqref="DY16">
    <cfRule type="cellIs" dxfId="253" priority="493" operator="between">
      <formula>69.43</formula>
      <formula>80.55</formula>
    </cfRule>
    <cfRule type="cellIs" dxfId="252" priority="494" operator="greaterThan">
      <formula>80.55</formula>
    </cfRule>
  </conditionalFormatting>
  <conditionalFormatting sqref="EE16">
    <cfRule type="cellIs" dxfId="251" priority="492" operator="lessThan">
      <formula>74.98</formula>
    </cfRule>
  </conditionalFormatting>
  <conditionalFormatting sqref="EE16">
    <cfRule type="cellIs" dxfId="250" priority="490" operator="between">
      <formula>69.43</formula>
      <formula>80.55</formula>
    </cfRule>
    <cfRule type="cellIs" dxfId="249" priority="491" operator="greaterThan">
      <formula>80.55</formula>
    </cfRule>
  </conditionalFormatting>
  <conditionalFormatting sqref="EL14 EN14 EJ14">
    <cfRule type="cellIs" dxfId="248" priority="489" operator="lessThan">
      <formula>74.98</formula>
    </cfRule>
  </conditionalFormatting>
  <conditionalFormatting sqref="EL14 EN14 EJ14">
    <cfRule type="cellIs" dxfId="247" priority="487" operator="between">
      <formula>69.43</formula>
      <formula>80.55</formula>
    </cfRule>
    <cfRule type="cellIs" dxfId="246" priority="488" operator="greaterThan">
      <formula>80.55</formula>
    </cfRule>
  </conditionalFormatting>
  <conditionalFormatting sqref="EL12 EN12 EJ7:EJ8 EJ12">
    <cfRule type="cellIs" dxfId="245" priority="486" operator="lessThan">
      <formula>74.98</formula>
    </cfRule>
  </conditionalFormatting>
  <conditionalFormatting sqref="EL12 EN12 EJ7:EJ8 EJ12">
    <cfRule type="cellIs" dxfId="244" priority="484" operator="between">
      <formula>69.43</formula>
      <formula>80.55</formula>
    </cfRule>
    <cfRule type="cellIs" dxfId="243" priority="485" operator="greaterThan">
      <formula>80.55</formula>
    </cfRule>
  </conditionalFormatting>
  <conditionalFormatting sqref="EL4 EN4 EN7:EN11 EL7:EL11">
    <cfRule type="cellIs" dxfId="242" priority="483" operator="lessThan">
      <formula>74.98</formula>
    </cfRule>
  </conditionalFormatting>
  <conditionalFormatting sqref="EL4 EN4 EN7:EN11 EL7:EL11">
    <cfRule type="cellIs" dxfId="241" priority="481" operator="between">
      <formula>69.43</formula>
      <formula>80.55</formula>
    </cfRule>
    <cfRule type="cellIs" dxfId="240" priority="482" operator="greaterThan">
      <formula>80.55</formula>
    </cfRule>
  </conditionalFormatting>
  <conditionalFormatting sqref="EJ23 EL23">
    <cfRule type="cellIs" dxfId="239" priority="465" operator="lessThan">
      <formula>74.98</formula>
    </cfRule>
  </conditionalFormatting>
  <conditionalFormatting sqref="EJ23 EL23">
    <cfRule type="cellIs" dxfId="238" priority="463" operator="between">
      <formula>69.43</formula>
      <formula>80.55</formula>
    </cfRule>
    <cfRule type="cellIs" dxfId="237" priority="464" operator="greaterThan">
      <formula>80.55</formula>
    </cfRule>
  </conditionalFormatting>
  <conditionalFormatting sqref="EH14">
    <cfRule type="cellIs" dxfId="236" priority="477" operator="lessThan">
      <formula>74.98</formula>
    </cfRule>
  </conditionalFormatting>
  <conditionalFormatting sqref="EH14">
    <cfRule type="cellIs" dxfId="235" priority="475" operator="between">
      <formula>69.43</formula>
      <formula>80.55</formula>
    </cfRule>
    <cfRule type="cellIs" dxfId="234" priority="476" operator="greaterThan">
      <formula>80.55</formula>
    </cfRule>
  </conditionalFormatting>
  <conditionalFormatting sqref="EH14">
    <cfRule type="cellIs" dxfId="233" priority="474" operator="lessThan">
      <formula>74.98</formula>
    </cfRule>
  </conditionalFormatting>
  <conditionalFormatting sqref="EH14">
    <cfRule type="cellIs" dxfId="232" priority="472" operator="between">
      <formula>69.43</formula>
      <formula>80.55</formula>
    </cfRule>
    <cfRule type="cellIs" dxfId="231" priority="473" operator="greaterThan">
      <formula>80.55</formula>
    </cfRule>
  </conditionalFormatting>
  <conditionalFormatting sqref="EH8">
    <cfRule type="cellIs" dxfId="230" priority="471" operator="lessThan">
      <formula>74.98</formula>
    </cfRule>
  </conditionalFormatting>
  <conditionalFormatting sqref="EH8">
    <cfRule type="cellIs" dxfId="229" priority="469" operator="between">
      <formula>69.43</formula>
      <formula>80.55</formula>
    </cfRule>
    <cfRule type="cellIs" dxfId="228" priority="470" operator="greaterThan">
      <formula>80.55</formula>
    </cfRule>
  </conditionalFormatting>
  <conditionalFormatting sqref="EH12">
    <cfRule type="cellIs" dxfId="227" priority="468" operator="lessThan">
      <formula>74.98</formula>
    </cfRule>
  </conditionalFormatting>
  <conditionalFormatting sqref="EH12">
    <cfRule type="cellIs" dxfId="226" priority="466" operator="between">
      <formula>69.43</formula>
      <formula>80.55</formula>
    </cfRule>
    <cfRule type="cellIs" dxfId="225" priority="467" operator="greaterThan">
      <formula>80.55</formula>
    </cfRule>
  </conditionalFormatting>
  <conditionalFormatting sqref="EN25:EN26 EL25:EL26 EL28 EN28">
    <cfRule type="cellIs" dxfId="224" priority="462" operator="lessThan">
      <formula>74.98</formula>
    </cfRule>
  </conditionalFormatting>
  <conditionalFormatting sqref="EN25:EN26 EL25:EL26 EL28 EN28">
    <cfRule type="cellIs" dxfId="223" priority="460" operator="between">
      <formula>69.43</formula>
      <formula>80.55</formula>
    </cfRule>
    <cfRule type="cellIs" dxfId="222" priority="461" operator="greaterThan">
      <formula>80.55</formula>
    </cfRule>
  </conditionalFormatting>
  <conditionalFormatting sqref="EJ22">
    <cfRule type="cellIs" dxfId="221" priority="453" operator="lessThan">
      <formula>74.98</formula>
    </cfRule>
  </conditionalFormatting>
  <conditionalFormatting sqref="EJ22">
    <cfRule type="cellIs" dxfId="220" priority="451" operator="between">
      <formula>69.43</formula>
      <formula>80.55</formula>
    </cfRule>
    <cfRule type="cellIs" dxfId="219" priority="452" operator="greaterThan">
      <formula>80.55</formula>
    </cfRule>
  </conditionalFormatting>
  <conditionalFormatting sqref="EN11 EL11">
    <cfRule type="cellIs" dxfId="218" priority="450" operator="lessThan">
      <formula>74.98</formula>
    </cfRule>
  </conditionalFormatting>
  <conditionalFormatting sqref="EN11 EL11">
    <cfRule type="cellIs" dxfId="217" priority="448" operator="between">
      <formula>69.43</formula>
      <formula>80.55</formula>
    </cfRule>
    <cfRule type="cellIs" dxfId="216" priority="449" operator="greaterThan">
      <formula>80.55</formula>
    </cfRule>
  </conditionalFormatting>
  <conditionalFormatting sqref="EN22 EL22">
    <cfRule type="cellIs" dxfId="215" priority="444" operator="lessThan">
      <formula>74.98</formula>
    </cfRule>
  </conditionalFormatting>
  <conditionalFormatting sqref="EN22 EL22">
    <cfRule type="cellIs" dxfId="214" priority="442" operator="between">
      <formula>69.43</formula>
      <formula>80.55</formula>
    </cfRule>
    <cfRule type="cellIs" dxfId="213" priority="443" operator="greaterThan">
      <formula>80.55</formula>
    </cfRule>
  </conditionalFormatting>
  <conditionalFormatting sqref="EH22">
    <cfRule type="cellIs" dxfId="212" priority="438" operator="lessThan">
      <formula>74.98</formula>
    </cfRule>
  </conditionalFormatting>
  <conditionalFormatting sqref="EH22">
    <cfRule type="cellIs" dxfId="211" priority="436" operator="between">
      <formula>69.43</formula>
      <formula>80.55</formula>
    </cfRule>
    <cfRule type="cellIs" dxfId="210" priority="437" operator="greaterThan">
      <formula>80.55</formula>
    </cfRule>
  </conditionalFormatting>
  <conditionalFormatting sqref="EH23">
    <cfRule type="cellIs" dxfId="209" priority="435" operator="lessThan">
      <formula>74.98</formula>
    </cfRule>
  </conditionalFormatting>
  <conditionalFormatting sqref="EH23">
    <cfRule type="cellIs" dxfId="208" priority="433" operator="between">
      <formula>69.43</formula>
      <formula>80.55</formula>
    </cfRule>
    <cfRule type="cellIs" dxfId="207" priority="434" operator="greaterThan">
      <formula>80.55</formula>
    </cfRule>
  </conditionalFormatting>
  <conditionalFormatting sqref="EH25">
    <cfRule type="cellIs" dxfId="206" priority="432" operator="lessThan">
      <formula>74.98</formula>
    </cfRule>
  </conditionalFormatting>
  <conditionalFormatting sqref="EH25">
    <cfRule type="cellIs" dxfId="205" priority="430" operator="between">
      <formula>69.43</formula>
      <formula>80.55</formula>
    </cfRule>
    <cfRule type="cellIs" dxfId="204" priority="431" operator="greaterThan">
      <formula>80.55</formula>
    </cfRule>
  </conditionalFormatting>
  <conditionalFormatting sqref="EJ25:EJ26 EJ28">
    <cfRule type="cellIs" dxfId="203" priority="426" operator="lessThan">
      <formula>74.98</formula>
    </cfRule>
  </conditionalFormatting>
  <conditionalFormatting sqref="EJ25:EJ26 EJ28">
    <cfRule type="cellIs" dxfId="202" priority="424" operator="between">
      <formula>69.43</formula>
      <formula>80.55</formula>
    </cfRule>
    <cfRule type="cellIs" dxfId="201" priority="425" operator="greaterThan">
      <formula>80.55</formula>
    </cfRule>
  </conditionalFormatting>
  <conditionalFormatting sqref="EH7">
    <cfRule type="cellIs" dxfId="200" priority="417" operator="lessThan">
      <formula>74.98</formula>
    </cfRule>
  </conditionalFormatting>
  <conditionalFormatting sqref="EH7">
    <cfRule type="cellIs" dxfId="199" priority="415" operator="between">
      <formula>69.43</formula>
      <formula>80.55</formula>
    </cfRule>
    <cfRule type="cellIs" dxfId="198" priority="416" operator="greaterThan">
      <formula>80.55</formula>
    </cfRule>
  </conditionalFormatting>
  <conditionalFormatting sqref="EH26">
    <cfRule type="cellIs" dxfId="197" priority="414" operator="lessThan">
      <formula>74.98</formula>
    </cfRule>
  </conditionalFormatting>
  <conditionalFormatting sqref="EH26">
    <cfRule type="cellIs" dxfId="196" priority="412" operator="between">
      <formula>69.43</formula>
      <formula>80.55</formula>
    </cfRule>
    <cfRule type="cellIs" dxfId="195" priority="413" operator="greaterThan">
      <formula>80.55</formula>
    </cfRule>
  </conditionalFormatting>
  <conditionalFormatting sqref="EH28">
    <cfRule type="cellIs" dxfId="194" priority="408" operator="lessThan">
      <formula>74.98</formula>
    </cfRule>
  </conditionalFormatting>
  <conditionalFormatting sqref="EH28">
    <cfRule type="cellIs" dxfId="193" priority="406" operator="between">
      <formula>69.43</formula>
      <formula>80.55</formula>
    </cfRule>
    <cfRule type="cellIs" dxfId="192" priority="407" operator="greaterThan">
      <formula>80.55</formula>
    </cfRule>
  </conditionalFormatting>
  <conditionalFormatting sqref="EL10">
    <cfRule type="cellIs" dxfId="191" priority="399" operator="lessThan">
      <formula>74.98</formula>
    </cfRule>
  </conditionalFormatting>
  <conditionalFormatting sqref="EL10">
    <cfRule type="cellIs" dxfId="190" priority="397" operator="between">
      <formula>69.43</formula>
      <formula>80.55</formula>
    </cfRule>
    <cfRule type="cellIs" dxfId="189" priority="398" operator="greaterThan">
      <formula>80.55</formula>
    </cfRule>
  </conditionalFormatting>
  <conditionalFormatting sqref="EN10">
    <cfRule type="cellIs" dxfId="188" priority="393" operator="lessThan">
      <formula>74.98</formula>
    </cfRule>
  </conditionalFormatting>
  <conditionalFormatting sqref="EN10">
    <cfRule type="cellIs" dxfId="187" priority="391" operator="between">
      <formula>69.43</formula>
      <formula>80.55</formula>
    </cfRule>
    <cfRule type="cellIs" dxfId="186" priority="392" operator="greaterThan">
      <formula>80.55</formula>
    </cfRule>
  </conditionalFormatting>
  <conditionalFormatting sqref="EH11">
    <cfRule type="cellIs" dxfId="185" priority="384" operator="lessThan">
      <formula>74.98</formula>
    </cfRule>
  </conditionalFormatting>
  <conditionalFormatting sqref="EH11">
    <cfRule type="cellIs" dxfId="184" priority="382" operator="between">
      <formula>69.43</formula>
      <formula>80.55</formula>
    </cfRule>
    <cfRule type="cellIs" dxfId="183" priority="383" operator="greaterThan">
      <formula>80.55</formula>
    </cfRule>
  </conditionalFormatting>
  <conditionalFormatting sqref="EH15">
    <cfRule type="cellIs" dxfId="182" priority="381" operator="lessThan">
      <formula>74.98</formula>
    </cfRule>
  </conditionalFormatting>
  <conditionalFormatting sqref="EH15">
    <cfRule type="cellIs" dxfId="181" priority="379" operator="between">
      <formula>69.43</formula>
      <formula>80.55</formula>
    </cfRule>
    <cfRule type="cellIs" dxfId="180" priority="380" operator="greaterThan">
      <formula>80.55</formula>
    </cfRule>
  </conditionalFormatting>
  <conditionalFormatting sqref="EH10">
    <cfRule type="cellIs" dxfId="179" priority="378" operator="lessThan">
      <formula>74.98</formula>
    </cfRule>
  </conditionalFormatting>
  <conditionalFormatting sqref="EH10">
    <cfRule type="cellIs" dxfId="178" priority="376" operator="between">
      <formula>69.43</formula>
      <formula>80.55</formula>
    </cfRule>
    <cfRule type="cellIs" dxfId="177" priority="377" operator="greaterThan">
      <formula>80.55</formula>
    </cfRule>
  </conditionalFormatting>
  <conditionalFormatting sqref="EH9">
    <cfRule type="cellIs" dxfId="176" priority="375" operator="lessThan">
      <formula>74.98</formula>
    </cfRule>
  </conditionalFormatting>
  <conditionalFormatting sqref="EH9">
    <cfRule type="cellIs" dxfId="175" priority="373" operator="between">
      <formula>69.43</formula>
      <formula>80.55</formula>
    </cfRule>
    <cfRule type="cellIs" dxfId="174" priority="374" operator="greaterThan">
      <formula>80.55</formula>
    </cfRule>
  </conditionalFormatting>
  <conditionalFormatting sqref="EJ9">
    <cfRule type="cellIs" dxfId="173" priority="366" operator="lessThan">
      <formula>74.98</formula>
    </cfRule>
  </conditionalFormatting>
  <conditionalFormatting sqref="EJ9">
    <cfRule type="cellIs" dxfId="172" priority="364" operator="between">
      <formula>69.43</formula>
      <formula>80.55</formula>
    </cfRule>
    <cfRule type="cellIs" dxfId="171" priority="365" operator="greaterThan">
      <formula>80.55</formula>
    </cfRule>
  </conditionalFormatting>
  <conditionalFormatting sqref="EJ10">
    <cfRule type="cellIs" dxfId="170" priority="363" operator="lessThan">
      <formula>74.98</formula>
    </cfRule>
  </conditionalFormatting>
  <conditionalFormatting sqref="EJ10">
    <cfRule type="cellIs" dxfId="169" priority="361" operator="between">
      <formula>69.43</formula>
      <formula>80.55</formula>
    </cfRule>
    <cfRule type="cellIs" dxfId="168" priority="362" operator="greaterThan">
      <formula>80.55</formula>
    </cfRule>
  </conditionalFormatting>
  <conditionalFormatting sqref="EJ11">
    <cfRule type="cellIs" dxfId="167" priority="360" operator="lessThan">
      <formula>74.98</formula>
    </cfRule>
  </conditionalFormatting>
  <conditionalFormatting sqref="EJ11">
    <cfRule type="cellIs" dxfId="166" priority="358" operator="between">
      <formula>69.43</formula>
      <formula>80.55</formula>
    </cfRule>
    <cfRule type="cellIs" dxfId="165" priority="359" operator="greaterThan">
      <formula>80.55</formula>
    </cfRule>
  </conditionalFormatting>
  <conditionalFormatting sqref="EJ15">
    <cfRule type="cellIs" dxfId="164" priority="357" operator="lessThan">
      <formula>74.98</formula>
    </cfRule>
  </conditionalFormatting>
  <conditionalFormatting sqref="EJ15">
    <cfRule type="cellIs" dxfId="163" priority="355" operator="between">
      <formula>69.43</formula>
      <formula>80.55</formula>
    </cfRule>
    <cfRule type="cellIs" dxfId="162" priority="356" operator="greaterThan">
      <formula>80.55</formula>
    </cfRule>
  </conditionalFormatting>
  <conditionalFormatting sqref="EL15">
    <cfRule type="cellIs" dxfId="161" priority="351" operator="lessThan">
      <formula>74.98</formula>
    </cfRule>
  </conditionalFormatting>
  <conditionalFormatting sqref="EL15">
    <cfRule type="cellIs" dxfId="160" priority="349" operator="between">
      <formula>69.43</formula>
      <formula>80.55</formula>
    </cfRule>
    <cfRule type="cellIs" dxfId="159" priority="350" operator="greaterThan">
      <formula>80.55</formula>
    </cfRule>
  </conditionalFormatting>
  <conditionalFormatting sqref="EN23">
    <cfRule type="cellIs" dxfId="158" priority="348" operator="lessThan">
      <formula>74.98</formula>
    </cfRule>
  </conditionalFormatting>
  <conditionalFormatting sqref="EN23">
    <cfRule type="cellIs" dxfId="157" priority="346" operator="between">
      <formula>69.43</formula>
      <formula>80.55</formula>
    </cfRule>
    <cfRule type="cellIs" dxfId="156" priority="347" operator="greaterThan">
      <formula>80.55</formula>
    </cfRule>
  </conditionalFormatting>
  <conditionalFormatting sqref="EN15">
    <cfRule type="cellIs" dxfId="155" priority="345" operator="lessThan">
      <formula>74.98</formula>
    </cfRule>
  </conditionalFormatting>
  <conditionalFormatting sqref="EN15">
    <cfRule type="cellIs" dxfId="154" priority="343" operator="between">
      <formula>69.43</formula>
      <formula>80.55</formula>
    </cfRule>
    <cfRule type="cellIs" dxfId="153" priority="344" operator="greaterThan">
      <formula>80.55</formula>
    </cfRule>
  </conditionalFormatting>
  <conditionalFormatting sqref="EJ24 EL24">
    <cfRule type="cellIs" dxfId="152" priority="333" operator="lessThan">
      <formula>74.98</formula>
    </cfRule>
  </conditionalFormatting>
  <conditionalFormatting sqref="EJ24 EL24">
    <cfRule type="cellIs" dxfId="151" priority="331" operator="between">
      <formula>69.43</formula>
      <formula>80.55</formula>
    </cfRule>
    <cfRule type="cellIs" dxfId="150" priority="332" operator="greaterThan">
      <formula>80.55</formula>
    </cfRule>
  </conditionalFormatting>
  <conditionalFormatting sqref="EH24">
    <cfRule type="cellIs" dxfId="149" priority="330" operator="lessThan">
      <formula>74.98</formula>
    </cfRule>
  </conditionalFormatting>
  <conditionalFormatting sqref="EH24">
    <cfRule type="cellIs" dxfId="148" priority="328" operator="between">
      <formula>69.43</formula>
      <formula>80.55</formula>
    </cfRule>
    <cfRule type="cellIs" dxfId="147" priority="329" operator="greaterThan">
      <formula>80.55</formula>
    </cfRule>
  </conditionalFormatting>
  <conditionalFormatting sqref="EN24">
    <cfRule type="cellIs" dxfId="146" priority="327" operator="lessThan">
      <formula>74.98</formula>
    </cfRule>
  </conditionalFormatting>
  <conditionalFormatting sqref="EN24">
    <cfRule type="cellIs" dxfId="145" priority="325" operator="between">
      <formula>69.43</formula>
      <formula>80.55</formula>
    </cfRule>
    <cfRule type="cellIs" dxfId="144" priority="326" operator="greaterThan">
      <formula>80.55</formula>
    </cfRule>
  </conditionalFormatting>
  <conditionalFormatting sqref="EH4">
    <cfRule type="cellIs" dxfId="143" priority="324" operator="lessThan">
      <formula>74.98</formula>
    </cfRule>
  </conditionalFormatting>
  <conditionalFormatting sqref="EH4">
    <cfRule type="cellIs" dxfId="142" priority="322" operator="between">
      <formula>69.43</formula>
      <formula>80.55</formula>
    </cfRule>
    <cfRule type="cellIs" dxfId="141" priority="323" operator="greaterThan">
      <formula>80.55</formula>
    </cfRule>
  </conditionalFormatting>
  <conditionalFormatting sqref="EJ4">
    <cfRule type="cellIs" dxfId="140" priority="321" operator="lessThan">
      <formula>74.98</formula>
    </cfRule>
  </conditionalFormatting>
  <conditionalFormatting sqref="EJ4">
    <cfRule type="cellIs" dxfId="139" priority="319" operator="between">
      <formula>69.43</formula>
      <formula>80.55</formula>
    </cfRule>
    <cfRule type="cellIs" dxfId="138" priority="320" operator="greaterThan">
      <formula>80.55</formula>
    </cfRule>
  </conditionalFormatting>
  <conditionalFormatting sqref="EL13 EN13">
    <cfRule type="cellIs" dxfId="137" priority="315" operator="lessThan">
      <formula>74.98</formula>
    </cfRule>
  </conditionalFormatting>
  <conditionalFormatting sqref="EL13 EN13">
    <cfRule type="cellIs" dxfId="136" priority="313" operator="between">
      <formula>69.43</formula>
      <formula>80.55</formula>
    </cfRule>
    <cfRule type="cellIs" dxfId="135" priority="314" operator="greaterThan">
      <formula>80.55</formula>
    </cfRule>
  </conditionalFormatting>
  <conditionalFormatting sqref="EL13">
    <cfRule type="cellIs" dxfId="134" priority="312" operator="lessThan">
      <formula>74.98</formula>
    </cfRule>
  </conditionalFormatting>
  <conditionalFormatting sqref="EL13">
    <cfRule type="cellIs" dxfId="133" priority="310" operator="between">
      <formula>69.43</formula>
      <formula>80.55</formula>
    </cfRule>
    <cfRule type="cellIs" dxfId="132" priority="311" operator="greaterThan">
      <formula>80.55</formula>
    </cfRule>
  </conditionalFormatting>
  <conditionalFormatting sqref="EN13">
    <cfRule type="cellIs" dxfId="131" priority="309" operator="lessThan">
      <formula>74.98</formula>
    </cfRule>
  </conditionalFormatting>
  <conditionalFormatting sqref="EN13">
    <cfRule type="cellIs" dxfId="130" priority="307" operator="between">
      <formula>69.43</formula>
      <formula>80.55</formula>
    </cfRule>
    <cfRule type="cellIs" dxfId="129" priority="308" operator="greaterThan">
      <formula>80.55</formula>
    </cfRule>
  </conditionalFormatting>
  <conditionalFormatting sqref="EH13">
    <cfRule type="cellIs" dxfId="128" priority="306" operator="lessThan">
      <formula>74.98</formula>
    </cfRule>
  </conditionalFormatting>
  <conditionalFormatting sqref="EH13">
    <cfRule type="cellIs" dxfId="127" priority="304" operator="between">
      <formula>69.43</formula>
      <formula>80.55</formula>
    </cfRule>
    <cfRule type="cellIs" dxfId="126" priority="305" operator="greaterThan">
      <formula>80.55</formula>
    </cfRule>
  </conditionalFormatting>
  <conditionalFormatting sqref="EJ13">
    <cfRule type="cellIs" dxfId="125" priority="303" operator="lessThan">
      <formula>74.98</formula>
    </cfRule>
  </conditionalFormatting>
  <conditionalFormatting sqref="EJ13">
    <cfRule type="cellIs" dxfId="124" priority="301" operator="between">
      <formula>69.43</formula>
      <formula>80.55</formula>
    </cfRule>
    <cfRule type="cellIs" dxfId="123" priority="302" operator="greaterThan">
      <formula>80.55</formula>
    </cfRule>
  </conditionalFormatting>
  <conditionalFormatting sqref="EJ16 EL16">
    <cfRule type="cellIs" dxfId="122" priority="300" operator="lessThan">
      <formula>74.98</formula>
    </cfRule>
  </conditionalFormatting>
  <conditionalFormatting sqref="EJ16 EL16">
    <cfRule type="cellIs" dxfId="121" priority="298" operator="between">
      <formula>69.43</formula>
      <formula>80.55</formula>
    </cfRule>
    <cfRule type="cellIs" dxfId="120" priority="299" operator="greaterThan">
      <formula>80.55</formula>
    </cfRule>
  </conditionalFormatting>
  <conditionalFormatting sqref="EH16">
    <cfRule type="cellIs" dxfId="119" priority="297" operator="lessThan">
      <formula>74.98</formula>
    </cfRule>
  </conditionalFormatting>
  <conditionalFormatting sqref="EH16">
    <cfRule type="cellIs" dxfId="118" priority="295" operator="between">
      <formula>69.43</formula>
      <formula>80.55</formula>
    </cfRule>
    <cfRule type="cellIs" dxfId="117" priority="296" operator="greaterThan">
      <formula>80.55</formula>
    </cfRule>
  </conditionalFormatting>
  <conditionalFormatting sqref="EN16">
    <cfRule type="cellIs" dxfId="116" priority="294" operator="lessThan">
      <formula>74.98</formula>
    </cfRule>
  </conditionalFormatting>
  <conditionalFormatting sqref="EN16">
    <cfRule type="cellIs" dxfId="115" priority="292" operator="between">
      <formula>69.43</formula>
      <formula>80.55</formula>
    </cfRule>
    <cfRule type="cellIs" dxfId="114" priority="293" operator="greaterThan">
      <formula>80.55</formula>
    </cfRule>
  </conditionalFormatting>
  <conditionalFormatting sqref="EL2:EL3 EN2:EN3">
    <cfRule type="cellIs" dxfId="113" priority="291" operator="lessThan">
      <formula>74.98</formula>
    </cfRule>
  </conditionalFormatting>
  <conditionalFormatting sqref="EL2:EL3 EN2:EN3">
    <cfRule type="cellIs" dxfId="112" priority="289" operator="between">
      <formula>69.43</formula>
      <formula>80.55</formula>
    </cfRule>
    <cfRule type="cellIs" dxfId="111" priority="290" operator="greaterThan">
      <formula>80.55</formula>
    </cfRule>
  </conditionalFormatting>
  <conditionalFormatting sqref="EH2:EH3">
    <cfRule type="cellIs" dxfId="110" priority="288" operator="lessThan">
      <formula>74.98</formula>
    </cfRule>
  </conditionalFormatting>
  <conditionalFormatting sqref="EH2:EH3">
    <cfRule type="cellIs" dxfId="109" priority="286" operator="between">
      <formula>69.43</formula>
      <formula>80.55</formula>
    </cfRule>
    <cfRule type="cellIs" dxfId="108" priority="287" operator="greaterThan">
      <formula>80.55</formula>
    </cfRule>
  </conditionalFormatting>
  <conditionalFormatting sqref="EJ2:EJ3">
    <cfRule type="cellIs" dxfId="107" priority="285" operator="lessThan">
      <formula>74.98</formula>
    </cfRule>
  </conditionalFormatting>
  <conditionalFormatting sqref="EJ2:EJ3">
    <cfRule type="cellIs" dxfId="106" priority="283" operator="between">
      <formula>69.43</formula>
      <formula>80.55</formula>
    </cfRule>
    <cfRule type="cellIs" dxfId="105" priority="284" operator="greaterThan">
      <formula>80.55</formula>
    </cfRule>
  </conditionalFormatting>
  <conditionalFormatting sqref="EL5:EL6 EN5:EN6">
    <cfRule type="cellIs" dxfId="104" priority="282" operator="lessThan">
      <formula>74.98</formula>
    </cfRule>
  </conditionalFormatting>
  <conditionalFormatting sqref="EL5:EL6 EN5:EN6">
    <cfRule type="cellIs" dxfId="103" priority="280" operator="between">
      <formula>69.43</formula>
      <formula>80.55</formula>
    </cfRule>
    <cfRule type="cellIs" dxfId="102" priority="281" operator="greaterThan">
      <formula>80.55</formula>
    </cfRule>
  </conditionalFormatting>
  <conditionalFormatting sqref="EH5:EH6">
    <cfRule type="cellIs" dxfId="101" priority="279" operator="lessThan">
      <formula>74.98</formula>
    </cfRule>
  </conditionalFormatting>
  <conditionalFormatting sqref="EH5:EH6">
    <cfRule type="cellIs" dxfId="100" priority="277" operator="between">
      <formula>69.43</formula>
      <formula>80.55</formula>
    </cfRule>
    <cfRule type="cellIs" dxfId="99" priority="278" operator="greaterThan">
      <formula>80.55</formula>
    </cfRule>
  </conditionalFormatting>
  <conditionalFormatting sqref="EJ5:EJ6">
    <cfRule type="cellIs" dxfId="98" priority="276" operator="lessThan">
      <formula>74.98</formula>
    </cfRule>
  </conditionalFormatting>
  <conditionalFormatting sqref="EJ5:EJ6">
    <cfRule type="cellIs" dxfId="97" priority="274" operator="between">
      <formula>69.43</formula>
      <formula>80.55</formula>
    </cfRule>
    <cfRule type="cellIs" dxfId="96" priority="275" operator="greaterThan">
      <formula>80.55</formula>
    </cfRule>
  </conditionalFormatting>
  <conditionalFormatting sqref="EJ17:EJ19">
    <cfRule type="cellIs" dxfId="95" priority="273" operator="lessThan">
      <formula>74.98</formula>
    </cfRule>
  </conditionalFormatting>
  <conditionalFormatting sqref="EJ17:EJ19">
    <cfRule type="cellIs" dxfId="94" priority="271" operator="between">
      <formula>69.43</formula>
      <formula>80.55</formula>
    </cfRule>
    <cfRule type="cellIs" dxfId="93" priority="272" operator="greaterThan">
      <formula>80.55</formula>
    </cfRule>
  </conditionalFormatting>
  <conditionalFormatting sqref="EN17:EN19 EL17:EL19">
    <cfRule type="cellIs" dxfId="92" priority="270" operator="lessThan">
      <formula>74.98</formula>
    </cfRule>
  </conditionalFormatting>
  <conditionalFormatting sqref="EN17:EN19 EL17:EL19">
    <cfRule type="cellIs" dxfId="91" priority="268" operator="between">
      <formula>69.43</formula>
      <formula>80.55</formula>
    </cfRule>
    <cfRule type="cellIs" dxfId="90" priority="269" operator="greaterThan">
      <formula>80.55</formula>
    </cfRule>
  </conditionalFormatting>
  <conditionalFormatting sqref="EH17:EH19">
    <cfRule type="cellIs" dxfId="89" priority="267" operator="lessThan">
      <formula>74.98</formula>
    </cfRule>
  </conditionalFormatting>
  <conditionalFormatting sqref="EH17:EH19">
    <cfRule type="cellIs" dxfId="88" priority="265" operator="between">
      <formula>69.43</formula>
      <formula>80.55</formula>
    </cfRule>
    <cfRule type="cellIs" dxfId="87" priority="266" operator="greaterThan">
      <formula>80.55</formula>
    </cfRule>
  </conditionalFormatting>
  <conditionalFormatting sqref="EJ20:EJ21 EL20:EL21">
    <cfRule type="cellIs" dxfId="86" priority="264" operator="lessThan">
      <formula>74.98</formula>
    </cfRule>
  </conditionalFormatting>
  <conditionalFormatting sqref="EJ20:EJ21 EL20:EL21">
    <cfRule type="cellIs" dxfId="85" priority="262" operator="between">
      <formula>69.43</formula>
      <formula>80.55</formula>
    </cfRule>
    <cfRule type="cellIs" dxfId="84" priority="263" operator="greaterThan">
      <formula>80.55</formula>
    </cfRule>
  </conditionalFormatting>
  <conditionalFormatting sqref="EH20:EH21">
    <cfRule type="cellIs" dxfId="83" priority="261" operator="lessThan">
      <formula>74.98</formula>
    </cfRule>
  </conditionalFormatting>
  <conditionalFormatting sqref="EH20:EH21">
    <cfRule type="cellIs" dxfId="82" priority="259" operator="between">
      <formula>69.43</formula>
      <formula>80.55</formula>
    </cfRule>
    <cfRule type="cellIs" dxfId="81" priority="260" operator="greaterThan">
      <formula>80.55</formula>
    </cfRule>
  </conditionalFormatting>
  <conditionalFormatting sqref="EN20:EN21">
    <cfRule type="cellIs" dxfId="80" priority="258" operator="lessThan">
      <formula>74.98</formula>
    </cfRule>
  </conditionalFormatting>
  <conditionalFormatting sqref="EN20:EN21">
    <cfRule type="cellIs" dxfId="79" priority="256" operator="between">
      <formula>69.43</formula>
      <formula>80.55</formula>
    </cfRule>
    <cfRule type="cellIs" dxfId="78" priority="257" operator="greaterThan">
      <formula>80.55</formula>
    </cfRule>
  </conditionalFormatting>
  <conditionalFormatting sqref="EN27 EL27">
    <cfRule type="cellIs" dxfId="77" priority="255" operator="lessThan">
      <formula>74.98</formula>
    </cfRule>
  </conditionalFormatting>
  <conditionalFormatting sqref="EN27 EL27">
    <cfRule type="cellIs" dxfId="76" priority="253" operator="between">
      <formula>69.43</formula>
      <formula>80.55</formula>
    </cfRule>
    <cfRule type="cellIs" dxfId="75" priority="254" operator="greaterThan">
      <formula>80.55</formula>
    </cfRule>
  </conditionalFormatting>
  <conditionalFormatting sqref="EJ27">
    <cfRule type="cellIs" dxfId="74" priority="252" operator="lessThan">
      <formula>74.98</formula>
    </cfRule>
  </conditionalFormatting>
  <conditionalFormatting sqref="EJ27">
    <cfRule type="cellIs" dxfId="73" priority="250" operator="between">
      <formula>69.43</formula>
      <formula>80.55</formula>
    </cfRule>
    <cfRule type="cellIs" dxfId="72" priority="251" operator="greaterThan">
      <formula>80.55</formula>
    </cfRule>
  </conditionalFormatting>
  <conditionalFormatting sqref="EH27">
    <cfRule type="cellIs" dxfId="71" priority="249" operator="lessThan">
      <formula>74.98</formula>
    </cfRule>
  </conditionalFormatting>
  <conditionalFormatting sqref="EH27">
    <cfRule type="cellIs" dxfId="70" priority="247" operator="between">
      <formula>69.43</formula>
      <formula>80.55</formula>
    </cfRule>
    <cfRule type="cellIs" dxfId="69" priority="248" operator="greaterThan">
      <formula>80.55</formula>
    </cfRule>
  </conditionalFormatting>
  <conditionalFormatting sqref="ER8">
    <cfRule type="cellIs" dxfId="68" priority="231" operator="lessThan">
      <formula>74.98</formula>
    </cfRule>
  </conditionalFormatting>
  <conditionalFormatting sqref="ER8">
    <cfRule type="cellIs" dxfId="67" priority="229" operator="between">
      <formula>69.43</formula>
      <formula>80.55</formula>
    </cfRule>
    <cfRule type="cellIs" dxfId="66" priority="230" operator="greaterThan">
      <formula>80.55</formula>
    </cfRule>
  </conditionalFormatting>
  <conditionalFormatting sqref="ER12">
    <cfRule type="cellIs" dxfId="65" priority="228" operator="lessThan">
      <formula>74.98</formula>
    </cfRule>
  </conditionalFormatting>
  <conditionalFormatting sqref="ER12">
    <cfRule type="cellIs" dxfId="64" priority="226" operator="between">
      <formula>69.43</formula>
      <formula>80.55</formula>
    </cfRule>
    <cfRule type="cellIs" dxfId="63" priority="227" operator="greaterThan">
      <formula>80.55</formula>
    </cfRule>
  </conditionalFormatting>
  <conditionalFormatting sqref="ER23">
    <cfRule type="cellIs" dxfId="62" priority="207" operator="lessThan">
      <formula>74.98</formula>
    </cfRule>
  </conditionalFormatting>
  <conditionalFormatting sqref="ER23">
    <cfRule type="cellIs" dxfId="61" priority="205" operator="between">
      <formula>69.43</formula>
      <formula>80.55</formula>
    </cfRule>
    <cfRule type="cellIs" dxfId="60" priority="206" operator="greaterThan">
      <formula>80.55</formula>
    </cfRule>
  </conditionalFormatting>
  <conditionalFormatting sqref="ER25">
    <cfRule type="cellIs" dxfId="59" priority="204" operator="lessThan">
      <formula>74.98</formula>
    </cfRule>
  </conditionalFormatting>
  <conditionalFormatting sqref="ER25">
    <cfRule type="cellIs" dxfId="58" priority="202" operator="between">
      <formula>69.43</formula>
      <formula>80.55</formula>
    </cfRule>
    <cfRule type="cellIs" dxfId="57" priority="203" operator="greaterThan">
      <formula>80.55</formula>
    </cfRule>
  </conditionalFormatting>
  <conditionalFormatting sqref="ER7">
    <cfRule type="cellIs" dxfId="56" priority="198" operator="lessThan">
      <formula>74.98</formula>
    </cfRule>
  </conditionalFormatting>
  <conditionalFormatting sqref="ER7">
    <cfRule type="cellIs" dxfId="55" priority="196" operator="between">
      <formula>69.43</formula>
      <formula>80.55</formula>
    </cfRule>
    <cfRule type="cellIs" dxfId="54" priority="197" operator="greaterThan">
      <formula>80.55</formula>
    </cfRule>
  </conditionalFormatting>
  <conditionalFormatting sqref="ER26">
    <cfRule type="cellIs" dxfId="53" priority="195" operator="lessThan">
      <formula>74.98</formula>
    </cfRule>
  </conditionalFormatting>
  <conditionalFormatting sqref="ER26">
    <cfRule type="cellIs" dxfId="52" priority="193" operator="between">
      <formula>69.43</formula>
      <formula>80.55</formula>
    </cfRule>
    <cfRule type="cellIs" dxfId="51" priority="194" operator="greaterThan">
      <formula>80.55</formula>
    </cfRule>
  </conditionalFormatting>
  <conditionalFormatting sqref="ER15">
    <cfRule type="cellIs" dxfId="50" priority="180" operator="lessThan">
      <formula>74.98</formula>
    </cfRule>
  </conditionalFormatting>
  <conditionalFormatting sqref="ER15">
    <cfRule type="cellIs" dxfId="49" priority="178" operator="between">
      <formula>69.43</formula>
      <formula>80.55</formula>
    </cfRule>
    <cfRule type="cellIs" dxfId="48" priority="179" operator="greaterThan">
      <formula>80.55</formula>
    </cfRule>
  </conditionalFormatting>
  <conditionalFormatting sqref="ER10">
    <cfRule type="cellIs" dxfId="47" priority="177" operator="lessThan">
      <formula>74.98</formula>
    </cfRule>
  </conditionalFormatting>
  <conditionalFormatting sqref="ER10">
    <cfRule type="cellIs" dxfId="46" priority="175" operator="between">
      <formula>69.43</formula>
      <formula>80.55</formula>
    </cfRule>
    <cfRule type="cellIs" dxfId="45" priority="176" operator="greaterThan">
      <formula>80.55</formula>
    </cfRule>
  </conditionalFormatting>
  <conditionalFormatting sqref="ER9">
    <cfRule type="cellIs" dxfId="44" priority="174" operator="lessThan">
      <formula>74.98</formula>
    </cfRule>
  </conditionalFormatting>
  <conditionalFormatting sqref="ER9">
    <cfRule type="cellIs" dxfId="43" priority="172" operator="between">
      <formula>69.43</formula>
      <formula>80.55</formula>
    </cfRule>
    <cfRule type="cellIs" dxfId="42" priority="173" operator="greaterThan">
      <formula>80.55</formula>
    </cfRule>
  </conditionalFormatting>
  <conditionalFormatting sqref="ER24">
    <cfRule type="cellIs" dxfId="41" priority="147" operator="lessThan">
      <formula>74.98</formula>
    </cfRule>
  </conditionalFormatting>
  <conditionalFormatting sqref="ER24">
    <cfRule type="cellIs" dxfId="40" priority="145" operator="between">
      <formula>69.43</formula>
      <formula>80.55</formula>
    </cfRule>
    <cfRule type="cellIs" dxfId="39" priority="146" operator="greaterThan">
      <formula>80.55</formula>
    </cfRule>
  </conditionalFormatting>
  <conditionalFormatting sqref="ER4">
    <cfRule type="cellIs" dxfId="38" priority="141" operator="lessThan">
      <formula>74.98</formula>
    </cfRule>
  </conditionalFormatting>
  <conditionalFormatting sqref="ER4">
    <cfRule type="cellIs" dxfId="37" priority="139" operator="between">
      <formula>69.43</formula>
      <formula>80.55</formula>
    </cfRule>
    <cfRule type="cellIs" dxfId="36" priority="140" operator="greaterThan">
      <formula>80.55</formula>
    </cfRule>
  </conditionalFormatting>
  <conditionalFormatting sqref="ER13">
    <cfRule type="cellIs" dxfId="35" priority="126" operator="lessThan">
      <formula>74.98</formula>
    </cfRule>
  </conditionalFormatting>
  <conditionalFormatting sqref="ER13">
    <cfRule type="cellIs" dxfId="34" priority="124" operator="between">
      <formula>69.43</formula>
      <formula>80.55</formula>
    </cfRule>
    <cfRule type="cellIs" dxfId="33" priority="125" operator="greaterThan">
      <formula>80.55</formula>
    </cfRule>
  </conditionalFormatting>
  <conditionalFormatting sqref="ER16">
    <cfRule type="cellIs" dxfId="32" priority="117" operator="lessThan">
      <formula>74.98</formula>
    </cfRule>
  </conditionalFormatting>
  <conditionalFormatting sqref="ER16">
    <cfRule type="cellIs" dxfId="31" priority="115" operator="between">
      <formula>69.43</formula>
      <formula>80.55</formula>
    </cfRule>
    <cfRule type="cellIs" dxfId="30" priority="116" operator="greaterThan">
      <formula>80.55</formula>
    </cfRule>
  </conditionalFormatting>
  <conditionalFormatting sqref="ER5:ER6">
    <cfRule type="cellIs" dxfId="29" priority="99" operator="lessThan">
      <formula>74.98</formula>
    </cfRule>
  </conditionalFormatting>
  <conditionalFormatting sqref="ER5:ER6">
    <cfRule type="cellIs" dxfId="28" priority="97" operator="between">
      <formula>69.43</formula>
      <formula>80.55</formula>
    </cfRule>
    <cfRule type="cellIs" dxfId="27" priority="98" operator="greaterThan">
      <formula>80.55</formula>
    </cfRule>
  </conditionalFormatting>
  <conditionalFormatting sqref="ER17:ER19">
    <cfRule type="cellIs" dxfId="26" priority="87" operator="lessThan">
      <formula>74.98</formula>
    </cfRule>
  </conditionalFormatting>
  <conditionalFormatting sqref="ER17:ER19">
    <cfRule type="cellIs" dxfId="25" priority="85" operator="between">
      <formula>69.43</formula>
      <formula>80.55</formula>
    </cfRule>
    <cfRule type="cellIs" dxfId="24" priority="86" operator="greaterThan">
      <formula>80.55</formula>
    </cfRule>
  </conditionalFormatting>
  <conditionalFormatting sqref="ER20:ER21">
    <cfRule type="cellIs" dxfId="23" priority="81" operator="lessThan">
      <formula>74.98</formula>
    </cfRule>
  </conditionalFormatting>
  <conditionalFormatting sqref="ER20:ER21">
    <cfRule type="cellIs" dxfId="22" priority="79" operator="between">
      <formula>69.43</formula>
      <formula>80.55</formula>
    </cfRule>
    <cfRule type="cellIs" dxfId="21" priority="80" operator="greaterThan">
      <formula>80.55</formula>
    </cfRule>
  </conditionalFormatting>
  <conditionalFormatting sqref="ER27">
    <cfRule type="cellIs" dxfId="20" priority="69" operator="lessThan">
      <formula>74.98</formula>
    </cfRule>
  </conditionalFormatting>
  <conditionalFormatting sqref="ER27">
    <cfRule type="cellIs" dxfId="19" priority="67" operator="between">
      <formula>69.43</formula>
      <formula>80.55</formula>
    </cfRule>
    <cfRule type="cellIs" dxfId="18" priority="68" operator="greaterThan">
      <formula>80.55</formula>
    </cfRule>
  </conditionalFormatting>
  <conditionalFormatting sqref="ER11">
    <cfRule type="cellIs" dxfId="17" priority="60" operator="lessThan">
      <formula>74.98</formula>
    </cfRule>
  </conditionalFormatting>
  <conditionalFormatting sqref="ER11">
    <cfRule type="cellIs" dxfId="16" priority="58" operator="between">
      <formula>69.43</formula>
      <formula>80.55</formula>
    </cfRule>
    <cfRule type="cellIs" dxfId="15" priority="59" operator="greaterThan">
      <formula>80.55</formula>
    </cfRule>
  </conditionalFormatting>
  <conditionalFormatting sqref="ER14">
    <cfRule type="cellIs" dxfId="14" priority="51" operator="lessThan">
      <formula>74.98</formula>
    </cfRule>
  </conditionalFormatting>
  <conditionalFormatting sqref="ER14">
    <cfRule type="cellIs" dxfId="13" priority="49" operator="between">
      <formula>69.43</formula>
      <formula>80.55</formula>
    </cfRule>
    <cfRule type="cellIs" dxfId="12" priority="50" operator="greaterThan">
      <formula>80.55</formula>
    </cfRule>
  </conditionalFormatting>
  <conditionalFormatting sqref="ER22">
    <cfRule type="cellIs" dxfId="11" priority="39" operator="lessThan">
      <formula>74.98</formula>
    </cfRule>
  </conditionalFormatting>
  <conditionalFormatting sqref="ER22">
    <cfRule type="cellIs" dxfId="10" priority="37" operator="between">
      <formula>69.43</formula>
      <formula>80.55</formula>
    </cfRule>
    <cfRule type="cellIs" dxfId="9" priority="38" operator="greaterThan">
      <formula>80.55</formula>
    </cfRule>
  </conditionalFormatting>
  <conditionalFormatting sqref="ER28">
    <cfRule type="cellIs" dxfId="8" priority="24" operator="lessThan">
      <formula>74.98</formula>
    </cfRule>
  </conditionalFormatting>
  <conditionalFormatting sqref="ER28">
    <cfRule type="cellIs" dxfId="7" priority="22" operator="between">
      <formula>69.43</formula>
      <formula>80.55</formula>
    </cfRule>
    <cfRule type="cellIs" dxfId="6" priority="23" operator="greaterThan">
      <formula>80.55</formula>
    </cfRule>
  </conditionalFormatting>
  <conditionalFormatting sqref="ER29">
    <cfRule type="cellIs" dxfId="5" priority="9" operator="lessThan">
      <formula>74.98</formula>
    </cfRule>
  </conditionalFormatting>
  <conditionalFormatting sqref="ER29">
    <cfRule type="cellIs" dxfId="4" priority="7" operator="between">
      <formula>69.43</formula>
      <formula>80.55</formula>
    </cfRule>
    <cfRule type="cellIs" dxfId="3" priority="8" operator="greaterThan">
      <formula>80.55</formula>
    </cfRule>
  </conditionalFormatting>
  <conditionalFormatting sqref="ER2:ER3">
    <cfRule type="cellIs" dxfId="2" priority="3" operator="lessThan">
      <formula>74.98</formula>
    </cfRule>
  </conditionalFormatting>
  <conditionalFormatting sqref="ER2:ER3">
    <cfRule type="cellIs" dxfId="1" priority="1" operator="between">
      <formula>69.43</formula>
      <formula>80.55</formula>
    </cfRule>
    <cfRule type="cellIs" dxfId="0" priority="2" operator="greaterThan">
      <formula>80.55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 ID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Dani-Pao</dc:creator>
  <cp:lastModifiedBy>Daniel</cp:lastModifiedBy>
  <cp:lastPrinted>2013-01-23T00:18:14Z</cp:lastPrinted>
  <dcterms:created xsi:type="dcterms:W3CDTF">2012-12-12T18:51:26Z</dcterms:created>
  <dcterms:modified xsi:type="dcterms:W3CDTF">2025-11-24T15:21:25Z</dcterms:modified>
</cp:coreProperties>
</file>